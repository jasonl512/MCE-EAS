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c72469e85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 Catalog" sheetId="1" r:id="R65701c2aa0214f6f"/>
    <x:sheet xmlns:r="http://schemas.openxmlformats.org/officeDocument/2006/relationships" name="Intervention Project Types" sheetId="2" r:id="R19adf5ac1c86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&quot;$&quot;#,##0"/>
    <x:numFmt numFmtId="165" formatCode="$#,##0"/>
    <x:numFmt numFmtId="166" formatCode="#,##0.0"/>
    <x:numFmt numFmtId="167" formatCode="0.0"/>
  </x:numFmts>
  <x:fonts count="19">
    <x:font>
      <x:sz val="10"/>
      <x:color rgb="FF000000"/>
      <x:name val="Arial"/>
      <x:scheme val="minor"/>
    </x:font>
    <x:font>
      <x:sz val="10"/>
      <x:color rgb="FF181D16"/>
      <x:name val="Roboto"/>
    </x:font>
    <x:font>
      <x:b/>
      <x:sz val="11"/>
      <x:color rgb="FFFFFFFF"/>
      <x:name val="Montserrat"/>
    </x:font>
    <x:font>
      <x:b/>
      <x:sz val="16"/>
      <x:color rgb="FF3C6938"/>
      <x:name val="Montserrat"/>
    </x:font>
    <x:font>
      <x:color theme="1"/>
      <x:name val="Arial"/>
      <x:scheme val="minor"/>
    </x:font>
    <x:font>
      <x:b/>
      <x:sz val="11"/>
      <x:color rgb="FF3C6938"/>
      <x:name val="Montserrat"/>
    </x:font>
    <x:font>
      <x:b/>
      <x:sz val="12"/>
      <x:color rgb="FF181C17"/>
      <x:name val="Roboto"/>
    </x:font>
    <x:font>
      <x:sz val="10"/>
      <x:color rgb="FF181C17"/>
      <x:name val="Roboto"/>
    </x:font>
    <x:font>
      <x:b/>
      <x:sz val="16"/>
      <x:color rgb="FFFFFFFF"/>
      <x:name val="Montserrat"/>
    </x:font>
    <x:font>
      <x:b/>
      <x:sz val="10"/>
      <x:color rgb="FF243024"/>
      <x:name val="Montserrat"/>
    </x:font>
    <x:font>
      <x:b/>
      <x:sz val="10"/>
      <x:color rgb="FF3B6939"/>
      <x:name val="Montserrat"/>
    </x:font>
    <x:font>
      <x:i/>
      <x:sz val="9"/>
      <x:color rgb="FF243024"/>
      <x:name val="Montserrat"/>
    </x:font>
    <x:font>
      <x:i/>
      <x:sz val="9"/>
      <x:color rgb="FF243024"/>
      <x:name val="Montserrat"/>
      <x:scheme val="minor"/>
    </x:font>
    <x:font>
      <x:b/>
      <x:sz val="10"/>
      <x:color rgb="FFFFFFFF"/>
      <x:name val="Montserrat"/>
    </x:font>
    <x:font>
      <x:sz val="9"/>
      <x:color rgb="FF243024"/>
      <x:name val="Montserrat"/>
    </x:font>
    <x:font>
      <x:b/>
      <x:sz val="15"/>
      <x:color rgb="FF3B6939"/>
      <x:name val="Montserrat"/>
      <x:scheme val="minor"/>
    </x:font>
    <x:font>
      <x:b/>
      <x:sz val="10"/>
      <x:color rgb="FFFFFFFF"/>
      <x:name val="Montserrat"/>
      <x:scheme val="minor"/>
    </x:font>
    <x:font>
      <x:sz val="9"/>
      <x:color rgb="FF243024"/>
      <x:name val="Montserrat"/>
      <x:scheme val="minor"/>
    </x:font>
    <x:font>
      <x:b/>
      <x:sz val="9"/>
      <x:color rgb="FF0563C1"/>
      <x:name val="Montserrat"/>
      <x:scheme val="minor"/>
    </x:font>
  </x:fonts>
  <x:fills count="8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3B6939"/>
      </x:patternFill>
    </x:fill>
    <x:fill>
      <x:patternFill patternType="solid">
        <x:fgColor rgb="FF3C6938"/>
      </x:patternFill>
    </x:fill>
    <x:fill>
      <x:patternFill patternType="solid">
        <x:fgColor rgb="FFF7FAF0"/>
      </x:patternFill>
    </x:fill>
    <x:fill>
      <x:patternFill patternType="solid">
        <x:fgColor rgb="FFEEF4EB"/>
      </x:patternFill>
    </x:fill>
    <x:fill>
      <x:patternFill patternType="solid">
        <x:fgColor rgb="FF3B6939"/>
      </x:patternFill>
    </x:fill>
  </x:fills>
  <x:borders count="13">
    <x:border/>
    <x:border>
      <x:left style="thin">
        <x:color rgb="FF71796E"/>
      </x:left>
      <x:right style="thin">
        <x:color rgb="FF71796E"/>
      </x:right>
      <x:top style="thin">
        <x:color rgb="FF71796E"/>
      </x:top>
      <x:bottom style="thin">
        <x:color rgb="FF71796E"/>
      </x:bottom>
    </x:border>
    <x:border>
      <x:left style="thin">
        <x:color rgb="FF71796E"/>
      </x:left>
      <x:right style="thin">
        <x:color rgb="FF71796E"/>
      </x:right>
      <x:top style="thin">
        <x:color rgb="FF71796E"/>
      </x:top>
    </x:border>
    <x:border>
      <x:right style="thin">
        <x:color rgb="FF71796E"/>
      </x:right>
      <x:top style="thin">
        <x:color rgb="FF71796E"/>
      </x:top>
    </x:border>
    <x:border>
      <x:left style="thin">
        <x:color rgb="FF72786F"/>
      </x:left>
      <x:right style="thin">
        <x:color rgb="FF72786F"/>
      </x:right>
      <x:top style="thin">
        <x:color rgb="FF72786F"/>
      </x:top>
      <x:bottom style="thin">
        <x:color rgb="FF72786F"/>
      </x:bottom>
    </x:border>
    <x:border>
      <x:left style="thin">
        <x:color rgb="FF71796E"/>
      </x:left>
      <x:top style="thin">
        <x:color rgb="FF71796E"/>
      </x:top>
      <x:bottom style="thin">
        <x:color rgb="FF71796E"/>
      </x:bottom>
    </x:border>
    <x:border>
      <x:left style="thin">
        <x:color rgb="FF71796E"/>
      </x:left>
      <x:right style="thin">
        <x:color rgb="FF71796E"/>
      </x:right>
      <x:bottom style="thin">
        <x:color rgb="FF71796E"/>
      </x:bottom>
    </x:border>
    <x:border>
      <x:left style="thin">
        <x:color rgb="FF71796E"/>
      </x:left>
      <x:right style="thin">
        <x:color rgb="FF71796E"/>
      </x:right>
      <x:top style="thin">
        <x:color rgb="FF71796E"/>
      </x:top>
      <x:bottom style="thin">
        <x:color rgb="FFC8D2C2"/>
      </x:bottom>
    </x:border>
    <x:border>
      <x:bottom style="thin">
        <x:color rgb="FFC8D2C2"/>
      </x:bottom>
    </x:border>
    <x:border>
      <x:right style="thin">
        <x:color rgb="FF71796E"/>
      </x:right>
      <x:top style="thin">
        <x:color rgb="FF71796E"/>
      </x:top>
      <x:bottom style="thin">
        <x:color rgb="FFC8D2C2"/>
      </x:bottom>
    </x:border>
    <x:border>
      <x:left style="thin">
        <x:color rgb="FF72786F"/>
      </x:left>
      <x:right style="thin">
        <x:color rgb="FF72786F"/>
      </x:right>
      <x:top style="thin">
        <x:color rgb="FF72786F"/>
      </x:top>
      <x:bottom style="thin">
        <x:color rgb="FFC8D2C2"/>
      </x:bottom>
    </x:border>
    <x:border>
      <x:left style="thin">
        <x:color rgb="FF72786F"/>
      </x:left>
      <x:right style="thin">
        <x:color rgb="FF72786F"/>
      </x:right>
      <x:top style="thin">
        <x:color rgb="FFC8D2C2"/>
      </x:top>
      <x:bottom style="thin">
        <x:color rgb="FFC8D2C2"/>
      </x:bottom>
    </x:border>
    <x:border>
      <x:top style="thin">
        <x:color rgb="FFC8D2C2"/>
      </x:top>
      <x:bottom style="thin">
        <x:color rgb="FFC8D2C2"/>
      </x:bottom>
    </x:border>
  </x:borders>
  <x:cellStyleXfs count="1">
    <x:xf numFmtId="0" fontId="0" fillId="0" borderId="0" applyFont="1" applyAlignment="1"/>
  </x:cellStyleXfs>
  <x:cellXfs count="155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top" wrapText="0" shrinkToFit="0"/>
    </x:xf>
    <x:xf numFmtId="0" fontId="2" fillId="3" borderId="1" xfId="0" applyFont="1" applyFill="1" applyBorder="1" applyAlignment="1">
      <x:alignment horizontal="center" vertical="center" wrapText="0" shrinkToFit="0"/>
    </x:xf>
    <x:xf numFmtId="0" fontId="3" fillId="3" borderId="1" xfId="0" applyFont="1" applyFill="1" applyBorder="1" applyAlignment="1">
      <x:alignment horizontal="center" vertical="center" wrapText="0" shrinkToFit="0"/>
    </x:xf>
    <x:xf numFmtId="0" fontId="4" fillId="0" borderId="0" xfId="0" applyFont="1" applyAlignment="1">
      <x:alignment wrapText="0" shrinkToFit="0"/>
    </x:xf>
    <x:xf numFmtId="164" fontId="1" fillId="2" borderId="1" xfId="0" applyNumberFormat="1" applyFont="1" applyFill="1" applyBorder="1" applyAlignment="1">
      <x:alignment horizontal="right" vertical="top" wrapText="0" shrinkToFit="0"/>
    </x:xf>
    <x:xf numFmtId="0" fontId="1" fillId="2" borderId="1" xfId="0" applyFont="1" applyFill="1" applyBorder="1" applyAlignment="1">
      <x:alignment horizontal="center" vertical="top" wrapText="0" shrinkToFit="0"/>
    </x:xf>
    <x:xf numFmtId="164" fontId="5" fillId="2" borderId="1" xfId="0" applyNumberFormat="1" applyFont="1" applyFill="1" applyBorder="1" applyAlignment="1">
      <x:alignment vertical="top" wrapText="0" shrinkToFit="0"/>
    </x:xf>
    <x:xf numFmtId="164" fontId="5" fillId="2" borderId="1" xfId="0" applyNumberFormat="1" applyFont="1" applyFill="1" applyBorder="1" applyAlignment="1">
      <x:alignment vertical="top" wrapText="0" shrinkToFit="0"/>
    </x:xf>
    <x:xf numFmtId="1" fontId="5" fillId="2" borderId="1" xfId="0" applyNumberFormat="1" applyFont="1" applyFill="1" applyBorder="1" applyAlignment="1">
      <x:alignment horizontal="center" vertical="top" wrapText="0" shrinkToFit="0"/>
    </x:xf>
    <x:xf numFmtId="164" fontId="5" fillId="2" borderId="1" xfId="0" applyNumberFormat="1" applyFont="1" applyFill="1" applyBorder="1" applyAlignment="1">
      <x:alignment horizontal="center" vertical="top" wrapText="0" shrinkToFit="0"/>
    </x:xf>
    <x:xf numFmtId="164" fontId="5" fillId="2" borderId="1" xfId="0" applyNumberFormat="1" applyFont="1" applyFill="1" applyBorder="1" applyAlignment="1">
      <x:alignment horizontal="center" vertical="top" wrapText="0" shrinkToFit="0"/>
    </x:xf>
    <x:xf numFmtId="0" fontId="5" fillId="2" borderId="1" xfId="0" applyFont="1" applyFill="1" applyBorder="1" applyAlignment="1">
      <x:alignment horizontal="center" vertical="top" wrapText="0" shrinkToFit="0"/>
    </x:xf>
    <x:xf numFmtId="0" fontId="6" fillId="3" borderId="1" xfId="0" applyFont="1" applyFill="1" applyBorder="1" applyAlignment="1">
      <x:alignment horizontal="center" vertical="center" wrapText="0" shrinkToFit="0"/>
    </x:xf>
    <x:xf numFmtId="0" fontId="6" fillId="0" borderId="0" xfId="0" applyFont="1" applyAlignment="1">
      <x:alignment wrapText="0" shrinkToFit="0"/>
    </x:xf>
    <x:xf numFmtId="165" fontId="6" fillId="0" borderId="0" xfId="0" applyNumberFormat="1" applyFont="1" applyAlignment="1">
      <x:alignment wrapText="0" shrinkToFit="0"/>
    </x:xf>
    <x:xf numFmtId="0" fontId="6" fillId="2" borderId="0" xfId="0" applyFont="1" applyFill="1" applyAlignment="1">
      <x:alignment vertical="top" wrapText="0" shrinkToFit="0"/>
    </x:xf>
    <x:xf numFmtId="1" fontId="6" fillId="2" borderId="0" xfId="0" applyNumberFormat="1" applyFont="1" applyFill="1" applyAlignment="1">
      <x:alignment vertical="top" wrapText="0" shrinkToFit="0"/>
    </x:xf>
    <x:xf numFmtId="166" fontId="1" fillId="2" borderId="1" xfId="0" applyNumberFormat="1" applyFont="1" applyFill="1" applyBorder="1" applyAlignment="1">
      <x:alignment horizontal="right" vertical="top" wrapText="0" shrinkToFit="0"/>
    </x:xf>
    <x:xf numFmtId="166" fontId="1" fillId="2" borderId="2" xfId="0" applyNumberFormat="1" applyFont="1" applyFill="1" applyBorder="1" applyAlignment="1">
      <x:alignment horizontal="right" vertical="top" wrapText="0" shrinkToFit="0"/>
    </x:xf>
    <x:xf numFmtId="0" fontId="1" fillId="2" borderId="0" xfId="0" applyFont="1" applyFill="1" applyAlignment="1">
      <x:alignment vertical="top" wrapText="0" shrinkToFit="0"/>
    </x:xf>
    <x:xf numFmtId="0" fontId="1" fillId="2" borderId="3" xfId="0" applyFont="1" applyFill="1" applyBorder="1" applyAlignment="1">
      <x:alignment vertical="top" wrapText="0" shrinkToFit="0"/>
    </x:xf>
    <x:xf numFmtId="0" fontId="2" fillId="4" borderId="4" xfId="0" applyFont="1" applyFill="1" applyBorder="1" applyAlignment="1">
      <x:alignment horizontal="center" vertical="center" wrapText="1" shrinkToFit="0"/>
    </x:xf>
    <x:xf numFmtId="164" fontId="2" fillId="4" borderId="4" xfId="0" applyNumberFormat="1" applyFont="1" applyFill="1" applyBorder="1" applyAlignment="1">
      <x:alignment horizontal="center" vertical="center" wrapText="1" shrinkToFit="0"/>
    </x:xf>
    <x:xf numFmtId="2" fontId="2" fillId="4" borderId="4" xfId="0" applyNumberFormat="1" applyFont="1" applyFill="1" applyBorder="1" applyAlignment="1">
      <x:alignment horizontal="center" vertical="center" wrapText="1" shrinkToFit="0"/>
    </x:xf>
    <x:xf numFmtId="0" fontId="2" fillId="3" borderId="5" xfId="0" applyFont="1" applyFill="1" applyBorder="1" applyAlignment="1">
      <x:alignment horizontal="center" vertical="center" wrapText="0" shrinkToFit="0"/>
    </x:xf>
    <x:xf numFmtId="0" fontId="7" fillId="3" borderId="4" xfId="0" applyFont="1" applyFill="1" applyBorder="1" applyAlignment="1">
      <x:alignment horizontal="center" vertical="top" wrapText="1" shrinkToFit="0"/>
    </x:xf>
    <x:xf numFmtId="164" fontId="7" fillId="3" borderId="4" xfId="0" applyNumberFormat="1" applyFont="1" applyFill="1" applyBorder="1" applyAlignment="1">
      <x:alignment horizontal="center" vertical="top" wrapText="1" shrinkToFit="0"/>
    </x:xf>
    <x:xf numFmtId="165" fontId="7" fillId="3" borderId="4" xfId="0" applyNumberFormat="1" applyFont="1" applyFill="1" applyBorder="1" applyAlignment="1">
      <x:alignment horizontal="right" vertical="top" wrapText="1" shrinkToFit="0"/>
    </x:xf>
    <x:xf numFmtId="1" fontId="7" fillId="3" borderId="4" xfId="0" applyNumberFormat="1" applyFont="1" applyFill="1" applyBorder="1" applyAlignment="1">
      <x:alignment horizontal="right" vertical="top" wrapText="1" shrinkToFit="0"/>
    </x:xf>
    <x:xf numFmtId="2" fontId="7" fillId="3" borderId="4" xfId="0" applyNumberFormat="1" applyFont="1" applyFill="1" applyBorder="1" applyAlignment="1">
      <x:alignment horizontal="right" vertical="top" wrapText="1" shrinkToFit="0"/>
    </x:xf>
    <x:xf numFmtId="0" fontId="1" fillId="2" borderId="5" xfId="0" applyFont="1" applyFill="1" applyBorder="1" applyAlignment="1">
      <x:alignment vertical="top" wrapText="0" shrinkToFit="0"/>
    </x:xf>
    <x:xf numFmtId="0" fontId="7" fillId="2" borderId="4" xfId="0" applyFont="1" applyFill="1" applyBorder="1" applyAlignment="1">
      <x:alignment vertical="top" wrapText="1" shrinkToFit="0"/>
    </x:xf>
    <x:xf numFmtId="164" fontId="7" fillId="2" borderId="4" xfId="0" applyNumberFormat="1" applyFont="1" applyFill="1" applyBorder="1" applyAlignment="1">
      <x:alignment vertical="top" wrapText="1" shrinkToFit="0"/>
    </x:xf>
    <x:xf numFmtId="165" fontId="7" fillId="2" borderId="4" xfId="0" applyNumberFormat="1" applyFont="1" applyFill="1" applyBorder="1" applyAlignment="1">
      <x:alignment horizontal="right" vertical="top" wrapText="1" shrinkToFit="0"/>
    </x:xf>
    <x:xf numFmtId="1" fontId="7" fillId="2" borderId="4" xfId="0" applyNumberFormat="1" applyFont="1" applyFill="1" applyBorder="1" applyAlignment="1">
      <x:alignment horizontal="right" vertical="top" wrapText="1" shrinkToFit="0"/>
    </x:xf>
    <x:xf numFmtId="2" fontId="7" fillId="2" borderId="4" xfId="0" applyNumberFormat="1" applyFont="1" applyFill="1" applyBorder="1" applyAlignment="1">
      <x:alignment horizontal="right" vertical="top" wrapText="1" shrinkToFit="0"/>
    </x:xf>
    <x:xf numFmtId="0" fontId="7" fillId="2" borderId="4" xfId="0" applyFont="1" applyFill="1" applyBorder="1" applyAlignment="1">
      <x:alignment vertical="top" wrapText="1" shrinkToFit="0"/>
    </x:xf>
    <x:xf numFmtId="164" fontId="7" fillId="2" borderId="4" xfId="0" applyNumberFormat="1" applyFont="1" applyFill="1" applyBorder="1" applyAlignment="1">
      <x:alignment horizontal="right" vertical="top" wrapText="1" shrinkToFit="0"/>
    </x:xf>
    <x:xf numFmtId="166" fontId="7" fillId="2" borderId="4" xfId="0" applyNumberFormat="1" applyFont="1" applyFill="1" applyBorder="1" applyAlignment="1">
      <x:alignment horizontal="right" vertical="top" wrapText="1" shrinkToFit="0"/>
    </x:xf>
    <x:xf numFmtId="0" fontId="1" fillId="2" borderId="1" xfId="0" applyFont="1" applyFill="1" applyBorder="1" applyAlignment="1">
      <x:alignment vertical="top" wrapText="0" shrinkToFit="0"/>
    </x:xf>
    <x:xf numFmtId="0" fontId="1" fillId="2" borderId="6" xfId="0" applyFont="1" applyFill="1" applyBorder="1" applyAlignment="1">
      <x:alignment vertical="top" wrapText="0" shrinkToFit="0"/>
    </x:xf>
    <x:xf numFmtId="164" fontId="1" fillId="2" borderId="6" xfId="0" applyNumberFormat="1" applyFont="1" applyFill="1" applyBorder="1" applyAlignment="1">
      <x:alignment horizontal="right" vertical="top" wrapText="0" shrinkToFit="0"/>
    </x:xf>
    <x:xf numFmtId="166" fontId="1" fillId="2" borderId="6" xfId="0" applyNumberFormat="1" applyFont="1" applyFill="1" applyBorder="1" applyAlignment="1">
      <x:alignment horizontal="right" vertical="top" wrapText="0" shrinkToFit="0"/>
    </x:xf>
    <x:xf numFmtId="166" fontId="1" fillId="2" borderId="6" xfId="0" applyNumberFormat="1" applyFont="1" applyFill="1" applyBorder="1" applyAlignment="1">
      <x:alignment horizontal="right" vertical="top" wrapText="0" shrinkToFit="0"/>
    </x:xf>
    <x:xf numFmtId="0" fontId="1" fillId="2" borderId="6" xfId="0" applyFont="1" applyFill="1" applyBorder="1" applyAlignment="1">
      <x:alignment vertical="top" wrapText="0" shrinkToFit="0"/>
    </x:xf>
    <x:xf numFmtId="164" fontId="1" fillId="2" borderId="6" xfId="0" applyNumberFormat="1" applyFont="1" applyFill="1" applyBorder="1" applyAlignment="1">
      <x:alignment horizontal="right" vertical="top" wrapText="0" shrinkToFit="0"/>
    </x:xf>
    <x:xf numFmtId="0" fontId="2" fillId="3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horizontal="right" vertical="center"/>
    </x:xf>
    <x:xf numFmtId="0" fontId="1" fillId="5" borderId="6" xfId="0" applyFont="1" applyFill="1" applyBorder="1" applyAlignment="1">
      <x:alignment horizontal="left" vertical="top" wrapText="1" shrinkToFit="0"/>
    </x:xf>
    <x:xf numFmtId="164" fontId="1" fillId="5" borderId="6" xfId="0" applyNumberFormat="1" applyFont="1" applyFill="1" applyBorder="1" applyAlignment="1">
      <x:alignment horizontal="right" vertical="top"/>
    </x:xf>
    <x:xf numFmtId="167" fontId="1" fillId="5" borderId="6" xfId="0" applyNumberFormat="1" applyFont="1" applyFill="1" applyBorder="1" applyAlignment="1">
      <x:alignment horizontal="right" vertical="top"/>
    </x:xf>
    <x:xf numFmtId="0" fontId="1" fillId="2" borderId="6" xfId="0" applyFont="1" applyFill="1" applyBorder="1" applyAlignment="1">
      <x:alignment horizontal="left" vertical="top" wrapText="1" shrinkToFit="0"/>
    </x:xf>
    <x:xf numFmtId="164" fontId="1" fillId="2" borderId="6" xfId="0" applyNumberFormat="1" applyFont="1" applyFill="1" applyBorder="1" applyAlignment="1">
      <x:alignment horizontal="right" vertical="top"/>
    </x:xf>
    <x:xf numFmtId="167" fontId="1" fillId="2" borderId="6" xfId="0" applyNumberFormat="1" applyFont="1" applyFill="1" applyBorder="1" applyAlignment="1">
      <x:alignment horizontal="right" vertical="top"/>
    </x:xf>
    <x:xf numFmtId="0" fontId="8" fillId="3" borderId="1" xfId="0" applyNumberFormat="1" applyFont="1" applyFill="1" applyBorder="1" applyAlignment="1">
      <x:alignment horizontal="center" vertical="center" wrapText="0"/>
    </x:xf>
    <x:xf numFmtId="164" fontId="9" fillId="2" borderId="1" xfId="0" applyNumberFormat="1" applyFont="1" applyFill="1" applyBorder="1" applyAlignment="1">
      <x:alignment vertical="top" wrapText="0"/>
    </x:xf>
    <x:xf numFmtId="1" fontId="9" fillId="2" borderId="1" xfId="0" applyNumberFormat="1" applyFont="1" applyFill="1" applyBorder="1" applyAlignment="1">
      <x:alignment horizontal="center" vertical="top" wrapText="0"/>
    </x:xf>
    <x:xf numFmtId="164" fontId="9" fillId="2" borderId="1" xfId="0" applyNumberFormat="1" applyFont="1" applyFill="1" applyBorder="1" applyAlignment="1">
      <x:alignment horizontal="center" vertical="top" wrapText="0"/>
    </x:xf>
    <x:xf numFmtId="0" fontId="9" fillId="2" borderId="1" xfId="0" applyNumberFormat="1" applyFont="1" applyFill="1" applyBorder="1" applyAlignment="1">
      <x:alignment horizontal="center" vertical="top" wrapText="0"/>
    </x:xf>
    <x:xf numFmtId="0" fontId="9" fillId="3" borderId="1" xfId="0" applyNumberFormat="1" applyFont="1" applyFill="1" applyBorder="1" applyAlignment="1">
      <x:alignment horizontal="center" vertical="center" wrapText="0"/>
    </x:xf>
    <x:xf numFmtId="0" fontId="9" fillId="0" borderId="0" xfId="0" applyNumberFormat="1" applyFont="1" applyFill="1" applyBorder="1" applyAlignment="1">
      <x:alignment wrapText="0"/>
    </x:xf>
    <x:xf numFmtId="165" fontId="9" fillId="0" borderId="0" xfId="0" applyNumberFormat="1" applyFont="1" applyFill="1" applyBorder="1" applyAlignment="1">
      <x:alignment wrapText="0"/>
    </x:xf>
    <x:xf numFmtId="0" fontId="9" fillId="2" borderId="0" xfId="0" applyNumberFormat="1" applyFont="1" applyFill="1" applyBorder="1" applyAlignment="1">
      <x:alignment vertical="top" wrapText="0"/>
    </x:xf>
    <x:xf numFmtId="1" fontId="9" fillId="2" borderId="0" xfId="0" applyNumberFormat="1" applyFont="1" applyFill="1" applyBorder="1" applyAlignment="1">
      <x:alignment vertical="top" wrapText="0"/>
    </x:xf>
    <x:xf numFmtId="164" fontId="10" fillId="2" borderId="1" xfId="0" applyNumberFormat="1" applyFont="1" applyFill="1" applyBorder="1" applyAlignment="1">
      <x:alignment vertical="top" wrapText="0"/>
    </x:xf>
    <x:xf numFmtId="1" fontId="10" fillId="2" borderId="1" xfId="0" applyNumberFormat="1" applyFont="1" applyFill="1" applyBorder="1" applyAlignment="1">
      <x:alignment horizontal="center" vertical="top" wrapText="0"/>
    </x:xf>
    <x:xf numFmtId="164" fontId="10" fillId="2" borderId="1" xfId="0" applyNumberFormat="1" applyFont="1" applyFill="1" applyBorder="1" applyAlignment="1">
      <x:alignment horizontal="center" vertical="top" wrapText="0"/>
    </x:xf>
    <x:xf numFmtId="0" fontId="10" fillId="2" borderId="1" xfId="0" applyNumberFormat="1" applyFont="1" applyFill="1" applyBorder="1" applyAlignment="1">
      <x:alignment horizontal="center" vertical="top" wrapText="0"/>
    </x:xf>
    <x:xf numFmtId="166" fontId="1" fillId="6" borderId="2" xfId="0" applyNumberFormat="1" applyFont="1" applyFill="1" applyBorder="1" applyAlignment="1">
      <x:alignment horizontal="right" vertical="top" wrapText="0"/>
    </x:xf>
    <x:xf numFmtId="0" fontId="4" fillId="6" borderId="0" xfId="0" applyNumberFormat="1" applyFont="1" applyFill="1" applyBorder="1" applyAlignment="1">
      <x:alignment wrapText="0"/>
    </x:xf>
    <x:xf numFmtId="0" fontId="1" fillId="6" borderId="0" xfId="0" applyNumberFormat="1" applyFont="1" applyFill="1" applyBorder="1" applyAlignment="1">
      <x:alignment vertical="top" wrapText="0"/>
    </x:xf>
    <x:xf numFmtId="0" fontId="1" fillId="6" borderId="3" xfId="0" applyNumberFormat="1" applyFont="1" applyFill="1" applyBorder="1" applyAlignment="1">
      <x:alignment vertical="top" wrapText="0"/>
    </x:xf>
    <x:xf numFmtId="166" fontId="11" fillId="6" borderId="2" xfId="0" applyNumberFormat="1" applyFont="1" applyFill="1" applyBorder="1" applyAlignment="1">
      <x:alignment horizontal="right" vertical="top" wrapText="0"/>
    </x:xf>
    <x:xf numFmtId="0" fontId="12" fillId="6" borderId="0" xfId="0" applyNumberFormat="1" applyFont="1" applyFill="1" applyBorder="1" applyAlignment="1">
      <x:alignment wrapText="0"/>
    </x:xf>
    <x:xf numFmtId="0" fontId="11" fillId="6" borderId="0" xfId="0" applyNumberFormat="1" applyFont="1" applyFill="1" applyBorder="1" applyAlignment="1">
      <x:alignment vertical="top" wrapText="0"/>
    </x:xf>
    <x:xf numFmtId="0" fontId="11" fillId="6" borderId="3" xfId="0" applyNumberFormat="1" applyFont="1" applyFill="1" applyBorder="1" applyAlignment="1">
      <x:alignment vertical="top" wrapText="0"/>
    </x:xf>
    <x:xf numFmtId="166" fontId="11" fillId="6" borderId="7" xfId="0" applyNumberFormat="1" applyFont="1" applyFill="1" applyBorder="1" applyAlignment="1">
      <x:alignment horizontal="right" vertical="top" wrapText="0"/>
    </x:xf>
    <x:xf numFmtId="0" fontId="12" fillId="6" borderId="8" xfId="0" applyNumberFormat="1" applyFont="1" applyFill="1" applyBorder="1" applyAlignment="1">
      <x:alignment wrapText="0"/>
    </x:xf>
    <x:xf numFmtId="0" fontId="11" fillId="6" borderId="8" xfId="0" applyNumberFormat="1" applyFont="1" applyFill="1" applyBorder="1" applyAlignment="1">
      <x:alignment vertical="top" wrapText="0"/>
    </x:xf>
    <x:xf numFmtId="0" fontId="11" fillId="6" borderId="9" xfId="0" applyNumberFormat="1" applyFont="1" applyFill="1" applyBorder="1" applyAlignment="1">
      <x:alignment vertical="top" wrapText="0"/>
    </x:xf>
    <x:xf numFmtId="166" fontId="11" fillId="6" borderId="7" xfId="0" applyNumberFormat="1" applyFont="1" applyFill="1" applyBorder="1" applyAlignment="1">
      <x:alignment horizontal="right" vertical="top" wrapText="1"/>
    </x:xf>
    <x:xf numFmtId="0" fontId="12" fillId="6" borderId="8" xfId="0" applyNumberFormat="1" applyFont="1" applyFill="1" applyBorder="1" applyAlignment="1">
      <x:alignment wrapText="1"/>
    </x:xf>
    <x:xf numFmtId="0" fontId="11" fillId="6" borderId="8" xfId="0" applyNumberFormat="1" applyFont="1" applyFill="1" applyBorder="1" applyAlignment="1">
      <x:alignment vertical="top" wrapText="1"/>
    </x:xf>
    <x:xf numFmtId="0" fontId="11" fillId="6" borderId="9" xfId="0" applyNumberFormat="1" applyFont="1" applyFill="1" applyBorder="1" applyAlignment="1">
      <x:alignment vertical="top" wrapText="1"/>
    </x:xf>
    <x:xf numFmtId="166" fontId="11" fillId="6" borderId="7" xfId="0" applyNumberFormat="1" applyFont="1" applyFill="1" applyBorder="1" applyAlignment="1">
      <x:alignment horizontal="right" vertical="center" wrapText="1"/>
    </x:xf>
    <x:xf numFmtId="0" fontId="12" fillId="6" borderId="8" xfId="0" applyNumberFormat="1" applyFont="1" applyFill="1" applyBorder="1" applyAlignment="1">
      <x:alignment vertical="center" wrapText="1"/>
    </x:xf>
    <x:xf numFmtId="0" fontId="11" fillId="6" borderId="8" xfId="0" applyNumberFormat="1" applyFont="1" applyFill="1" applyBorder="1" applyAlignment="1">
      <x:alignment vertical="center" wrapText="1"/>
    </x:xf>
    <x:xf numFmtId="0" fontId="11" fillId="6" borderId="9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164" fontId="2" fillId="7" borderId="4" xfId="0" applyNumberFormat="1" applyFont="1" applyFill="1" applyBorder="1" applyAlignment="1">
      <x:alignment horizontal="center" vertical="center" wrapText="1"/>
    </x:xf>
    <x:xf numFmtId="2" fontId="2" fillId="7" borderId="4" xfId="0" applyNumberFormat="1" applyFont="1" applyFill="1" applyBorder="1" applyAlignment="1">
      <x:alignment horizontal="center" vertical="center" wrapText="1"/>
    </x:xf>
    <x:xf numFmtId="0" fontId="13" fillId="7" borderId="4" xfId="0" applyNumberFormat="1" applyFont="1" applyFill="1" applyBorder="1" applyAlignment="1">
      <x:alignment horizontal="center" vertical="center" wrapText="1"/>
    </x:xf>
    <x:xf numFmtId="164" fontId="13" fillId="7" borderId="4" xfId="0" applyNumberFormat="1" applyFont="1" applyFill="1" applyBorder="1" applyAlignment="1">
      <x:alignment horizontal="center" vertical="center" wrapText="1"/>
    </x:xf>
    <x:xf numFmtId="2" fontId="13" fillId="7" borderId="4" xfId="0" applyNumberFormat="1" applyFont="1" applyFill="1" applyBorder="1" applyAlignment="1">
      <x:alignment horizontal="center" vertical="center" wrapText="1"/>
    </x:xf>
    <x:xf numFmtId="0" fontId="14" fillId="3" borderId="4" xfId="0" applyNumberFormat="1" applyFont="1" applyFill="1" applyBorder="1" applyAlignment="1">
      <x:alignment horizontal="center" vertical="top" wrapText="1"/>
    </x:xf>
    <x:xf numFmtId="164" fontId="14" fillId="3" borderId="4" xfId="0" applyNumberFormat="1" applyFont="1" applyFill="1" applyBorder="1" applyAlignment="1">
      <x:alignment horizontal="center" vertical="top" wrapText="1"/>
    </x:xf>
    <x:xf numFmtId="165" fontId="14" fillId="3" borderId="4" xfId="0" applyNumberFormat="1" applyFont="1" applyFill="1" applyBorder="1" applyAlignment="1">
      <x:alignment horizontal="right" vertical="top" wrapText="1"/>
    </x:xf>
    <x:xf numFmtId="1" fontId="14" fillId="3" borderId="4" xfId="0" applyNumberFormat="1" applyFont="1" applyFill="1" applyBorder="1" applyAlignment="1">
      <x:alignment horizontal="right" vertical="top" wrapText="1"/>
    </x:xf>
    <x:xf numFmtId="2" fontId="14" fillId="3" borderId="4" xfId="0" applyNumberFormat="1" applyFont="1" applyFill="1" applyBorder="1" applyAlignment="1">
      <x:alignment horizontal="right" vertical="top" wrapText="1"/>
    </x:xf>
    <x:xf numFmtId="0" fontId="14" fillId="2" borderId="4" xfId="0" applyNumberFormat="1" applyFont="1" applyFill="1" applyBorder="1" applyAlignment="1">
      <x:alignment vertical="top" wrapText="1"/>
    </x:xf>
    <x:xf numFmtId="164" fontId="14" fillId="2" borderId="4" xfId="0" applyNumberFormat="1" applyFont="1" applyFill="1" applyBorder="1" applyAlignment="1">
      <x:alignment vertical="top" wrapText="1"/>
    </x:xf>
    <x:xf numFmtId="165" fontId="14" fillId="2" borderId="4" xfId="0" applyNumberFormat="1" applyFont="1" applyFill="1" applyBorder="1" applyAlignment="1">
      <x:alignment horizontal="right" vertical="top" wrapText="1"/>
    </x:xf>
    <x:xf numFmtId="1" fontId="14" fillId="2" borderId="4" xfId="0" applyNumberFormat="1" applyFont="1" applyFill="1" applyBorder="1" applyAlignment="1">
      <x:alignment horizontal="right" vertical="top" wrapText="1"/>
    </x:xf>
    <x:xf numFmtId="2" fontId="14" fillId="2" borderId="4" xfId="0" applyNumberFormat="1" applyFont="1" applyFill="1" applyBorder="1" applyAlignment="1">
      <x:alignment horizontal="right" vertical="top" wrapText="1"/>
    </x:xf>
    <x:xf numFmtId="164" fontId="14" fillId="2" borderId="4" xfId="0" applyNumberFormat="1" applyFont="1" applyFill="1" applyBorder="1" applyAlignment="1">
      <x:alignment horizontal="right" vertical="top" wrapText="1"/>
    </x:xf>
    <x:xf numFmtId="166" fontId="14" fillId="2" borderId="4" xfId="0" applyNumberFormat="1" applyFont="1" applyFill="1" applyBorder="1" applyAlignment="1">
      <x:alignment horizontal="right" vertical="top" wrapText="1"/>
    </x:xf>
    <x:xf numFmtId="0" fontId="14" fillId="3" borderId="4" xfId="0" applyNumberFormat="1" applyFont="1" applyFill="1" applyBorder="1" applyAlignment="1">
      <x:alignment horizontal="center" vertical="center" wrapText="1"/>
    </x:xf>
    <x:xf numFmtId="164" fontId="14" fillId="3" borderId="4" xfId="0" applyNumberFormat="1" applyFont="1" applyFill="1" applyBorder="1" applyAlignment="1">
      <x:alignment horizontal="center" vertical="center" wrapText="1"/>
    </x:xf>
    <x:xf numFmtId="165" fontId="14" fillId="3" borderId="4" xfId="0" applyNumberFormat="1" applyFont="1" applyFill="1" applyBorder="1" applyAlignment="1">
      <x:alignment horizontal="right" vertical="center" wrapText="1"/>
    </x:xf>
    <x:xf numFmtId="1" fontId="14" fillId="3" borderId="4" xfId="0" applyNumberFormat="1" applyFont="1" applyFill="1" applyBorder="1" applyAlignment="1">
      <x:alignment horizontal="right" vertical="center" wrapText="1"/>
    </x:xf>
    <x:xf numFmtId="2" fontId="14" fillId="3" borderId="4" xfId="0" applyNumberFormat="1" applyFont="1" applyFill="1" applyBorder="1" applyAlignment="1">
      <x:alignment horizontal="right" vertical="center" wrapText="1"/>
    </x:xf>
    <x:xf numFmtId="0" fontId="14" fillId="2" borderId="4" xfId="0" applyNumberFormat="1" applyFont="1" applyFill="1" applyBorder="1" applyAlignment="1">
      <x:alignment vertical="center" wrapText="1"/>
    </x:xf>
    <x:xf numFmtId="164" fontId="14" fillId="2" borderId="4" xfId="0" applyNumberFormat="1" applyFont="1" applyFill="1" applyBorder="1" applyAlignment="1">
      <x:alignment vertical="center" wrapText="1"/>
    </x:xf>
    <x:xf numFmtId="165" fontId="14" fillId="2" borderId="4" xfId="0" applyNumberFormat="1" applyFont="1" applyFill="1" applyBorder="1" applyAlignment="1">
      <x:alignment horizontal="right" vertical="center" wrapText="1"/>
    </x:xf>
    <x:xf numFmtId="1" fontId="14" fillId="2" borderId="4" xfId="0" applyNumberFormat="1" applyFont="1" applyFill="1" applyBorder="1" applyAlignment="1">
      <x:alignment horizontal="right" vertical="center" wrapText="1"/>
    </x:xf>
    <x:xf numFmtId="2" fontId="14" fillId="2" borderId="4" xfId="0" applyNumberFormat="1" applyFont="1" applyFill="1" applyBorder="1" applyAlignment="1">
      <x:alignment horizontal="right" vertical="center" wrapText="1"/>
    </x:xf>
    <x:xf numFmtId="164" fontId="14" fillId="2" borderId="4" xfId="0" applyNumberFormat="1" applyFont="1" applyFill="1" applyBorder="1" applyAlignment="1">
      <x:alignment horizontal="right" vertical="center" wrapText="1"/>
    </x:xf>
    <x:xf numFmtId="166" fontId="14" fillId="2" borderId="4" xfId="0" applyNumberFormat="1" applyFont="1" applyFill="1" applyBorder="1" applyAlignment="1">
      <x:alignment horizontal="right" vertical="center" wrapText="1"/>
    </x:xf>
    <x:xf numFmtId="0" fontId="14" fillId="6" borderId="4" xfId="0" applyNumberFormat="1" applyFont="1" applyFill="1" applyBorder="1" applyAlignment="1">
      <x:alignment horizontal="center" vertical="center" wrapText="1"/>
    </x:xf>
    <x:xf numFmtId="164" fontId="14" fillId="6" borderId="4" xfId="0" applyNumberFormat="1" applyFont="1" applyFill="1" applyBorder="1" applyAlignment="1">
      <x:alignment horizontal="center" vertical="center" wrapText="1"/>
    </x:xf>
    <x:xf numFmtId="165" fontId="14" fillId="6" borderId="4" xfId="0" applyNumberFormat="1" applyFont="1" applyFill="1" applyBorder="1" applyAlignment="1">
      <x:alignment horizontal="right" vertical="center" wrapText="1"/>
    </x:xf>
    <x:xf numFmtId="1" fontId="14" fillId="6" borderId="4" xfId="0" applyNumberFormat="1" applyFont="1" applyFill="1" applyBorder="1" applyAlignment="1">
      <x:alignment horizontal="right" vertical="center" wrapText="1"/>
    </x:xf>
    <x:xf numFmtId="2" fontId="14" fillId="6" borderId="4" xfId="0" applyNumberFormat="1" applyFont="1" applyFill="1" applyBorder="1" applyAlignment="1">
      <x:alignment horizontal="right" vertical="center" wrapText="1"/>
    </x:xf>
    <x:xf numFmtId="0" fontId="14" fillId="6" borderId="4" xfId="0" applyNumberFormat="1" applyFont="1" applyFill="1" applyBorder="1" applyAlignment="1">
      <x:alignment vertical="center" wrapText="1"/>
    </x:xf>
    <x:xf numFmtId="164" fontId="14" fillId="6" borderId="4" xfId="0" applyNumberFormat="1" applyFont="1" applyFill="1" applyBorder="1" applyAlignment="1">
      <x:alignment vertical="center" wrapText="1"/>
    </x:xf>
    <x:xf numFmtId="164" fontId="14" fillId="6" borderId="4" xfId="0" applyNumberFormat="1" applyFont="1" applyFill="1" applyBorder="1" applyAlignment="1">
      <x:alignment horizontal="right" vertical="center" wrapText="1"/>
    </x:xf>
    <x:xf numFmtId="166" fontId="14" fillId="6" borderId="4" xfId="0" applyNumberFormat="1" applyFont="1" applyFill="1" applyBorder="1" applyAlignment="1">
      <x:alignment horizontal="right" vertical="center" wrapText="1"/>
    </x:xf>
    <x:xf numFmtId="0" fontId="14" fillId="6" borderId="4" xfId="0" applyNumberFormat="1" applyFont="1" applyFill="1" applyBorder="1" applyAlignment="1">
      <x:alignment horizontal="left" vertical="center" wrapText="1"/>
    </x:xf>
    <x:xf numFmtId="164" fontId="14" fillId="6" borderId="4" xfId="0" applyNumberFormat="1" applyFont="1" applyFill="1" applyBorder="1" applyAlignment="1">
      <x:alignment horizontal="left" vertical="center" wrapText="1"/>
    </x:xf>
    <x:xf numFmtId="0" fontId="13" fillId="7" borderId="10" xfId="0" applyNumberFormat="1" applyFont="1" applyFill="1" applyBorder="1" applyAlignment="1">
      <x:alignment horizontal="center" vertical="center" wrapText="1"/>
    </x:xf>
    <x:xf numFmtId="164" fontId="13" fillId="7" borderId="10" xfId="0" applyNumberFormat="1" applyFont="1" applyFill="1" applyBorder="1" applyAlignment="1">
      <x:alignment horizontal="center" vertical="center" wrapText="1"/>
    </x:xf>
    <x:xf numFmtId="2" fontId="13" fillId="7" borderId="10" xfId="0" applyNumberFormat="1" applyFont="1" applyFill="1" applyBorder="1" applyAlignment="1">
      <x:alignment horizontal="center" vertical="center" wrapText="1"/>
    </x:xf>
    <x:xf numFmtId="0" fontId="14" fillId="6" borderId="11" xfId="0" applyNumberFormat="1" applyFont="1" applyFill="1" applyBorder="1" applyAlignment="1">
      <x:alignment horizontal="left" vertical="center" wrapText="1"/>
    </x:xf>
    <x:xf numFmtId="164" fontId="14" fillId="6" borderId="11" xfId="0" applyNumberFormat="1" applyFont="1" applyFill="1" applyBorder="1" applyAlignment="1">
      <x:alignment horizontal="left" vertical="center" wrapText="1"/>
    </x:xf>
    <x:xf numFmtId="165" fontId="14" fillId="6" borderId="11" xfId="0" applyNumberFormat="1" applyFont="1" applyFill="1" applyBorder="1" applyAlignment="1">
      <x:alignment horizontal="right" vertical="center" wrapText="1"/>
    </x:xf>
    <x:xf numFmtId="0" fontId="14" fillId="6" borderId="11" xfId="0" applyNumberFormat="1" applyFont="1" applyFill="1" applyBorder="1" applyAlignment="1">
      <x:alignment horizontal="center" vertical="center" wrapText="1"/>
    </x:xf>
    <x:xf numFmtId="0" fontId="14" fillId="6" borderId="11" xfId="0" applyNumberFormat="1" applyFont="1" applyFill="1" applyBorder="1" applyAlignment="1">
      <x:alignment vertical="center" wrapText="1"/>
    </x:xf>
    <x:xf numFmtId="164" fontId="14" fillId="6" borderId="11" xfId="0" applyNumberFormat="1" applyFont="1" applyFill="1" applyBorder="1" applyAlignment="1">
      <x:alignment horizontal="right" vertical="center" wrapText="1"/>
    </x:xf>
    <x:xf numFmtId="166" fontId="14" fillId="6" borderId="11" xfId="0" applyNumberFormat="1" applyFont="1" applyFill="1" applyBorder="1" applyAlignment="1">
      <x:alignment horizontal="right" vertical="center" wrapText="1"/>
    </x:xf>
    <x:xf numFmtId="0" fontId="15" fillId="0" borderId="0" xfId="0" applyNumberFormat="1" applyFont="1" applyFill="1" applyBorder="1" applyAlignment="1">
      <x:alignment vertical="bottom" wrapText="0"/>
    </x:xf>
    <x:xf numFmtId="0" fontId="15" fillId="0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16" fillId="7" borderId="0" xfId="0" applyNumberFormat="1" applyFont="1" applyFill="1" applyBorder="1" applyAlignment="1">
      <x:alignment vertical="bottom" wrapText="0"/>
    </x:xf>
    <x:xf numFmtId="0" fontId="16" fillId="7" borderId="0" xfId="0" applyNumberFormat="1" applyFont="1" applyFill="1" applyBorder="1" applyAlignment="1">
      <x:alignment vertical="bottom" wrapText="1"/>
    </x:xf>
    <x:xf numFmtId="0" fontId="16" fillId="7" borderId="0" xfId="0" applyNumberFormat="1" applyFont="1" applyFill="1" applyBorder="1" applyAlignment="1">
      <x:alignment horizontal="center" vertical="bottom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bottom" wrapText="0"/>
    </x:xf>
    <x:xf numFmtId="0" fontId="17" fillId="0" borderId="0" xfId="0" applyNumberFormat="1" applyFont="1" applyFill="1" applyBorder="1" applyAlignment="1">
      <x:alignment vertical="bottom"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6" fillId="7" borderId="8" xfId="0" applyNumberFormat="1" applyFont="1" applyFill="1" applyBorder="1" applyAlignment="1">
      <x:alignment horizontal="center" vertical="center" wrapText="1"/>
    </x:xf>
    <x:xf numFmtId="0" fontId="17" fillId="6" borderId="12" xfId="0" applyNumberFormat="1" applyFont="1" applyFill="1" applyBorder="1" applyAlignment="1">
      <x:alignment vertical="center" wrapText="1"/>
    </x:xf>
    <x:xf numFmtId="0" fontId="18" fillId="6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rgb="FF3C6938"/>
        </x:patternFill>
      </x:fill>
      <x:border/>
    </x:dxf>
    <x:dxf>
      <x:fill>
        <x:patternFill>
          <x:bgColor rgb="FFF6FAF1"/>
        </x:patternFill>
      </x:fill>
      <x:border/>
    </x:dxf>
    <x:dxf>
      <x:fill>
        <x:patternFill>
          <x:bgColor rgb="FFFFFFFF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465001db24b8f" /><Relationship Type="http://schemas.openxmlformats.org/officeDocument/2006/relationships/theme" Target="/xl/theme/theme1.xml" Id="R3d08fbfe4ca94832" /><Relationship Type="http://schemas.openxmlformats.org/officeDocument/2006/relationships/sharedStrings" Target="/xl/sharedStrings.xml" Id="Rf07728acacf6402c" /><Relationship Type="http://schemas.openxmlformats.org/officeDocument/2006/relationships/worksheet" Target="/xl/worksheets/sheet1.xml" Id="R65701c2aa0214f6f" /><Relationship Type="http://schemas.openxmlformats.org/officeDocument/2006/relationships/worksheet" Target="/xl/worksheets/sheet2.xml" Id="R19adf5ac1c864b49" /></Relationships>
</file>

<file path=xl/tables/table1.xml><?xml version="1.0" encoding="utf-8"?>
<x:table xmlns:x="http://schemas.openxmlformats.org/spreadsheetml/2006/main" id="1" name="Table_1" displayName="Table_1" ref="B7:I17">
  <x:tableColumns count="8">
    <x:tableColumn id="1" name="Project ID"/>
    <x:tableColumn id="2" name="Green Intervention Project Name"/>
    <x:tableColumn id="3" name="Project Category / Type"/>
    <x:tableColumn id="4" name="Estimated Average Cost ($)"/>
    <x:tableColumn id="5" name="Estimated Green Score Impact (+Points)"/>
    <x:tableColumn id="6" name="Cost-Effectiveness Ratio (Points per $100k)"/>
    <x:tableColumn id="7" name="Estimated Construction Timeframe"/>
    <x:tableColumn id="8" name="Key Implementation Notes &amp; Requirements"/>
  </x:tableColumns>
  <x:tableStyleInfo name="Projects Catalog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836bc04cd04c4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ColWidth="12.630000114440918" defaultRowHeight="15.75"/>
  <x:cols>
    <x:col min="1" max="1" width="2.75" customWidth="1"/>
    <x:col min="2" max="2" width="13" hidden="0" customWidth="1"/>
    <x:col min="3" max="3" width="34" hidden="0" customWidth="1"/>
    <x:col min="4" max="4" width="48" hidden="0" customWidth="1"/>
    <x:col min="5" max="7" width="18.8799991607666" customWidth="1"/>
    <x:col min="8" max="8" width="34" hidden="0" customWidth="1"/>
    <x:col min="9" max="9" width="61" hidden="0" customWidth="1"/>
    <x:col min="10" max="10" width="11.25" customWidth="1"/>
    <x:col min="5" max="5" width="14" hidden="0" customWidth="1"/>
    <x:col min="6" max="6" width="14" hidden="0" customWidth="1"/>
    <x:col min="7" max="7" width="35" hidden="0" customWidth="1"/>
  </x:cols>
  <x:sheetData>
    <x:row r="1" ht="6.7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/>
      <x:c r="B2" s="55" t="str">
        <x:v>Manhattan Green Project Catalog</x:v>
      </x:c>
      <x:c r="C2" s="55"/>
      <x:c r="D2" s="4"/>
      <x:c r="E2" s="4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/>
      <x:c r="B3" s="5"/>
      <x:c r="C3" s="5"/>
      <x:c r="D3" s="4"/>
      <x:c r="E3" s="4"/>
      <x:c r="F3" s="6"/>
      <x:c r="G3" s="6"/>
      <x:c r="H3" s="6"/>
      <x:c r="I3" s="6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65" t="str">
        <x:v>Scoring proxy</x:v>
      </x:c>
      <x:c r="C4" s="65"/>
      <x:c r="D4" s="65" t="str">
        <x:v>Cost basis</x:v>
      </x:c>
      <x:c r="E4" s="66"/>
      <x:c r="F4" s="67" t="str">
        <x:v>Time basis</x:v>
      </x:c>
      <x:c r="G4" s="67"/>
      <x:c r="H4" s="68" t="str">
        <x:v>Score impact</x:v>
      </x:c>
      <x:c r="I4" s="68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"/>
      <x:c r="B5" s="60" t="str">
        <x:v>Seattle Green Factor</x:v>
      </x:c>
      <x:c r="C5" s="61"/>
      <x:c r="D5" s="62" t="str">
        <x:v>NYC / comparable published costs</x:v>
      </x:c>
      <x:c r="E5" s="63"/>
      <x:c r="F5" s="64" t="str">
        <x:v>Construction-only ranges</x:v>
      </x:c>
      <x:c r="G5" s="63"/>
      <x:c r="H5" s="63" t="str">
        <x:v>Requires site dimensions</x:v>
      </x:c>
      <x:c r="I5" s="63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8" customHeight="1">
      <x:c r="A6" s="18"/>
      <x:c r="B6" s="85" t="str">
        <x:v>Seattle Green Factor is a proxy, not a NYC requirement. Actual scores depend on lot area, feature dimensions, design, and code eligibility. Costs are published planning benchmarks from different years and may not be inflation-adjusted. Construction ranges exclude design, permits, procurement, and structural work unless noted.</x:v>
      </x:c>
      <x:c r="C6" s="86"/>
      <x:c r="D6" s="86"/>
      <x:c r="E6" s="87"/>
      <x:c r="F6" s="87"/>
      <x:c r="G6" s="87"/>
      <x:c r="H6" s="87"/>
      <x:c r="I6" s="88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" customHeight="1">
      <x:c r="A7" s="1"/>
      <x:c r="B7" s="130" t="str">
        <x:v>Project ID</x:v>
      </x:c>
      <x:c r="C7" s="130" t="str">
        <x:v>Project / Intervention</x:v>
      </x:c>
      <x:c r="D7" s="131" t="str">
        <x:v>Green Factor credit pathway</x:v>
      </x:c>
      <x:c r="E7" s="132" t="str">
        <x:v>Low cost ($)</x:v>
      </x:c>
      <x:c r="F7" s="130" t="str">
        <x:v>High cost ($)</x:v>
      </x:c>
      <x:c r="G7" s="130" t="str">
        <x:v>Cost basis / scope</x:v>
      </x:c>
      <x:c r="H7" s="130" t="str">
        <x:v>Estimated construction time</x:v>
      </x:c>
      <x:c r="I7" s="130" t="str">
        <x:v>Site notes and source IDs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76" customHeight="1">
      <x:c r="A8" s="25"/>
      <x:c r="B8" s="133" t="str">
        <x:v>PROJ-001</x:v>
      </x:c>
      <x:c r="C8" s="134" t="str">
        <x:v>Street tree planting (10 trees)</x:v>
      </x:c>
      <x:c r="D8" s="135" t="str">
        <x:v>Tree canopy credit is weighted by tree size and equivalent canopy area. Layering with an understory and qualifying native or visible planting can add credit.</x:v>
      </x:c>
      <x:c r="E8" s="135" t="n">
        <x:v>16500</x:v>
      </x:c>
      <x:c r="F8" s="135" t="n">
        <x:v>16500</x:v>
      </x:c>
      <x:c r="G8" s="136" t="str">
        <x:v>10 trees at $1,650 per tree</x:v>
      </x:c>
      <x:c r="H8" s="136" t="str">
        <x:v>1–3 weeks per block (planning allowance)</x:v>
      </x:c>
      <x:c r="I8" s="136" t="str">
        <x:v>Allow for utility clearance, adequate rooting space, and establishment watering. Cost benchmark from NYC Parks data cited in R11. Sources: R03, R05, R06, R11.</x:v>
      </x:c>
      <x:c r="J8" s="4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76" customHeight="1">
      <x:c r="A9" s="31"/>
      <x:c r="B9" s="133" t="str">
        <x:v>PROJ-002</x:v>
      </x:c>
      <x:c r="C9" s="134" t="str">
        <x:v>Native pollinator planting bed (1,000 sq ft)</x:v>
      </x:c>
      <x:c r="D9" s="135" t="str">
        <x:v>Planted-area and plant credits can stack. Native or drought-tolerant species and planting visible from public space may earn bonus credit.</x:v>
      </x:c>
      <x:c r="E9" s="135" t="n">
        <x:v>12000</x:v>
      </x:c>
      <x:c r="F9" s="135" t="n">
        <x:v>20000</x:v>
      </x:c>
      <x:c r="G9" s="137" t="str">
        <x:v>1,000 sq ft at $12–$20 per sq ft installed</x:v>
      </x:c>
      <x:c r="H9" s="138" t="str">
        <x:v>1–3 weeks (planting only)</x:v>
      </x:c>
      <x:c r="I9" s="139" t="str">
        <x:v>NYC-area contractor benchmark. Site prep, irrigation, and soil remediation can increase cost. Sources: R03, R05, R06, R15.</x:v>
      </x:c>
      <x:c r="J9" s="4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76" customHeight="1">
      <x:c r="A10" s="31"/>
      <x:c r="B10" s="133" t="str">
        <x:v>PROJ-003</x:v>
      </x:c>
      <x:c r="C10" s="134" t="str">
        <x:v>Rain garden or bioswale</x:v>
      </x:c>
      <x:c r="D10" s="135" t="str">
        <x:v>Bioretention planting area earns a direct landscape credit when it meets the referenced stormwater standards. Plant layers and qualifying bonuses may add credit.</x:v>
      </x:c>
      <x:c r="E10" s="135" t="n">
        <x:v>15000</x:v>
      </x:c>
      <x:c r="F10" s="135" t="n">
        <x:v>44600</x:v>
      </x:c>
      <x:c r="G10" s="137" t="str">
        <x:v>One installation. 2025 NYC testimony: $15,000–$20,000; older DDC average: $44,600</x:v>
      </x:c>
      <x:c r="H10" s="138" t="str">
        <x:v>4–6 weeks per site (NYC DEP program typical)</x:v>
      </x:c>
      <x:c r="I10" s="139" t="str">
        <x:v>The cost figures are separate NYC benchmarks, not a formal bid range. Utility conflicts, curb work, permits, and infiltration conditions affect scope. Sources: R03, R05–R10.</x:v>
      </x:c>
      <x:c r="J10" s="4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76" customHeight="1">
      <x:c r="A11" s="31"/>
      <x:c r="B11" s="133" t="str">
        <x:v>PROJ-004</x:v>
      </x:c>
      <x:c r="C11" s="134" t="str">
        <x:v>Permeable pavement retrofit (1,000 sq ft)</x:v>
      </x:c>
      <x:c r="D11" s="135" t="str">
        <x:v>Permeable-paving area earns credit based on the depth of the supporting soil or gravel. Seattle caps combined permeable-paving and structural-soil credit.</x:v>
      </x:c>
      <x:c r="E11" s="135" t="n">
        <x:v>19974</x:v>
      </x:c>
      <x:c r="F11" s="135" t="n">
        <x:v>19974</x:v>
      </x:c>
      <x:c r="G11" s="137" t="str">
        <x:v>1,000 sq ft at $215 per sq m, converted to $19,974</x:v>
      </x:c>
      <x:c r="H11" s="138" t="str">
        <x:v>2–6 weeks (small-site planning range)</x:v>
      </x:c>
      <x:c r="I11" s="139" t="str">
        <x:v>Modeled NYC unit-cost benchmark; excavation, subbase, drainage, and loading affect bids. Check NYC specifications and Seattle credit limits separately. Sources: R03, R05, R06, R11.</x:v>
      </x:c>
      <x:c r="J11" s="4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76" customHeight="1">
      <x:c r="A12" s="31"/>
      <x:c r="B12" s="133" t="str">
        <x:v>PROJ-005</x:v>
      </x:c>
      <x:c r="C12" s="134" t="str">
        <x:v>Extensive green roof (1,000 sq ft)</x:v>
      </x:c>
      <x:c r="D12" s="135" t="str">
        <x:v>Eligible planted roof area earns a green-roof credit. Qualifying native or drought-tolerant planting can earn additional bonus credit.</x:v>
      </x:c>
      <x:c r="E12" s="135" t="n">
        <x:v>5000</x:v>
      </x:c>
      <x:c r="F12" s="135" t="n">
        <x:v>35000</x:v>
      </x:c>
      <x:c r="G12" s="137" t="str">
        <x:v>1,000 sq ft at $5–$35 per sq ft (published NYC estimate)</x:v>
      </x:c>
      <x:c r="H12" s="138" t="str">
        <x:v>1–3 weeks installation (roof preparation excluded)</x:v>
      </x:c>
      <x:c r="I12" s="139" t="str">
        <x:v>The NYC cost range is from an older published plan and is not inflation-adjusted. Structural review, waterproofing, access, and plant establishment affect scope. Sources: R03, R05, R06, R12, R13, R17.</x:v>
      </x:c>
      <x:c r="J12" s="4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76" customHeight="1">
      <x:c r="A13" s="31"/>
      <x:c r="B13" s="133" t="str">
        <x:v>PROJ-006</x:v>
      </x:c>
      <x:c r="C13" s="134" t="str">
        <x:v>Intensive rooftop garden (1,000 sq ft)</x:v>
      </x:c>
      <x:c r="D13" s="135" t="str">
        <x:v>Green-roof area receives a direct credit. Taller roof plantings may also qualify under plant categories; eligible bonus planting may add credit.</x:v>
      </x:c>
      <x:c r="E13" s="135" t="n">
        <x:v>15000</x:v>
      </x:c>
      <x:c r="F13" s="135" t="n">
        <x:v>70000</x:v>
      </x:c>
      <x:c r="G13" s="137" t="str">
        <x:v>1,000 sq ft at $15–$70 per sq ft (published NYC estimate)</x:v>
      </x:c>
      <x:c r="H13" s="138" t="str">
        <x:v>4–6 weeks construction (planning range)</x:v>
      </x:c>
      <x:c r="I13" s="139" t="str">
        <x:v>The NYC cost range is from an older published plan and is not inflation-adjusted. Structural capacity, waterproofing, elevators or crane access, and irrigation can materially change costs. Sources: R03, R05, R06, R08, R12, R13.</x:v>
      </x:c>
      <x:c r="J13" s="4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76" customHeight="1">
      <x:c r="A14" s="31"/>
      <x:c r="B14" s="133" t="str">
        <x:v>PROJ-007</x:v>
      </x:c>
      <x:c r="C14" s="134" t="str">
        <x:v>Vegetated façade or living wall (300 sq ft)</x:v>
      </x:c>
      <x:c r="D14" s="135" t="str">
        <x:v>A vegetated-wall category is available in Seattle's system, with zone and design restrictions. Native or publicly visible planting may also qualify for bonuses.</x:v>
      </x:c>
      <x:c r="E14" s="135" t="n">
        <x:v>7500</x:v>
      </x:c>
      <x:c r="F14" s="135" t="n">
        <x:v>33000</x:v>
      </x:c>
      <x:c r="G14" s="137" t="str">
        <x:v>300 sq ft at $25–$110 per sq ft; basic façade to NYC modular-wall example</x:v>
      </x:c>
      <x:c r="H14" s="138" t="str">
        <x:v>2–6 weeks (planning allowance)</x:v>
      </x:c>
      <x:c r="I14" s="139" t="str">
        <x:v>Reference costs range from a vendor basic-façade estimate to a cited NYC modular living-wall example. Allow for structure, waterproofing, irrigation, drainage, and maintenance. Sources: R03, R05, R06, R14.</x:v>
      </x:c>
      <x:c r="J14" s="4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76" customHeight="1">
      <x:c r="A15" s="31"/>
      <x:c r="B15" s="133" t="str">
        <x:v>PROJ-008</x:v>
      </x:c>
      <x:c r="C15" s="134" t="str">
        <x:v>Cistern for landscape irrigation (1,000 gal)</x:v>
      </x:c>
      <x:c r="D15" s="135" t="str">
        <x:v>Storage alone does not earn the landscape bonus. Landscaped area can earn a bonus when at least 50% of annual irrigation uses harvested rainwater.</x:v>
      </x:c>
      <x:c r="E15" s="135" t="n">
        <x:v>500</x:v>
      </x:c>
      <x:c r="F15" s="135" t="n">
        <x:v>2000</x:v>
      </x:c>
      <x:c r="G15" s="137" t="str">
        <x:v>1,000-gal cistern at $0.50–$2 per gallon (tank benchmark only)</x:v>
      </x:c>
      <x:c r="H15" s="138" t="str">
        <x:v>1–3 weeks (installation allowance)</x:v>
      </x:c>
      <x:c r="I15" s="139" t="str">
        <x:v>Plumbing, excavation, overflow controls, and irrigation connections are additional. Size storage to the actual landscape demand. Sources: R05, R06, R12.</x:v>
      </x:c>
      <x:c r="J15" s="4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76" customHeight="1">
      <x:c r="A16" s="31"/>
      <x:c r="B16" s="133" t="str">
        <x:v>PROJ-009</x:v>
      </x:c>
      <x:c r="C16" s="134" t="str">
        <x:v>Community food garden (10 raised beds)</x:v>
      </x:c>
      <x:c r="D16" s="135" t="str">
        <x:v>Food-cultivation landscaping can earn a bonus when the garden meets access and water requirements. Planting-area and native-species credits may also apply.</x:v>
      </x:c>
      <x:c r="E16" s="135" t="n">
        <x:v>2060</x:v>
      </x:c>
      <x:c r="F16" s="135" t="n">
        <x:v>4700</x:v>
      </x:c>
      <x:c r="G16" s="137" t="str">
        <x:v>10 beds at $206–$470 per bed (Manhattan estimate)</x:v>
      </x:c>
      <x:c r="H16" s="138" t="str">
        <x:v>1–3 weeks for beds and planting (planning allowance)</x:v>
      </x:c>
      <x:c r="I16" s="139" t="str">
        <x:v>Bed pricing excludes site preparation, soil, water connections, fencing, and accessibility improvements. Sources: R05, R06, R11, R16, R18.</x:v>
      </x:c>
      <x:c r="J16" s="4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76" customHeight="1">
      <x:c r="A17" s="31"/>
      <x:c r="B17" s="133" t="str">
        <x:v>PROJ-010</x:v>
      </x:c>
      <x:c r="C17" s="133" t="str">
        <x:v>Layered courtyard landscape (1,000 sq ft bed + 10 trees)</x:v>
      </x:c>
      <x:c r="D17" s="135" t="str">
        <x:v>Combines planting-area credit, tree credit, and potential native or public-visibility bonuses. Green Factor allows qualifying landscape layers to be counted together.</x:v>
      </x:c>
      <x:c r="E17" s="135" t="n">
        <x:f>E9+E8</x:f>
        <x:v>28500</x:v>
      </x:c>
      <x:c r="F17" s="135" t="n">
        <x:f>F9+F8</x:f>
        <x:v>36500</x:v>
      </x:c>
      <x:c r="G17" s="137" t="str">
        <x:v>Sum of the 1,000-sq-ft native bed and 10-tree package in PROJ-002 and PROJ-001</x:v>
      </x:c>
      <x:c r="H17" s="138" t="str">
        <x:v>2–4 weeks (combined installation allowance)</x:v>
      </x:c>
      <x:c r="I17" s="139" t="str">
        <x:v>Cost is formula-linked to the two catalog components above. Excludes major grading, utilities, irrigation, and remediation. Sources: R03, R05, R06, R11, R15.</x:v>
      </x:c>
      <x:c r="J17" s="4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40"/>
      <x:c r="B18" s="41"/>
      <x:c r="C18" s="41"/>
      <x:c r="D18" s="42"/>
      <x:c r="E18" s="43"/>
      <x:c r="F18" s="44"/>
      <x:c r="G18" s="45"/>
      <x:c r="H18" s="46"/>
      <x:c r="I18" s="44"/>
      <x:c r="J18" s="4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B6:I6"/>
  </x:mergeCells>
  <x:pageMargins left="0.7" right="0.7" top="0.75" bottom="0.75" header="0.3" footer="0.3"/>
  <x:tableParts count="1">
    <x:tablePart xmlns:r="http://schemas.openxmlformats.org/officeDocument/2006/relationships" r:id="R1b836bc04cd04c4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2.630000114440918" defaultRowHeight="15.75"/>
  <x:cols>
    <x:col min="1" max="1" width="2.630000114440918" customWidth="1"/>
    <x:col min="2" max="2" width="13" hidden="0" customWidth="1"/>
    <x:col min="3" max="3" width="49" hidden="0" customWidth="1"/>
    <x:col min="4" max="4" width="73" hidden="0" customWidth="1"/>
    <x:col min="5" max="5" width="60" hidden="0" customWidth="1"/>
  </x:cols>
  <x:sheetData>
    <x:row r="1" ht="30" customHeight="1">
      <x:c r="B1" s="141" t="str">
        <x:v>References and estimating notes</x:v>
      </x:c>
      <x:c r="C1" s="141"/>
      <x:c r="D1" s="141"/>
      <x:c r="E1" s="141"/>
    </x:row>
    <x:row r="2" ht="30" customHeight="1">
      <x:c r="B2" s="152" t="str">
        <x:v>Source ID</x:v>
      </x:c>
      <x:c r="C2" s="152" t="str">
        <x:v>Reference / date</x:v>
      </x:c>
      <x:c r="D2" s="152" t="str">
        <x:v>Use in catalog</x:v>
      </x:c>
      <x:c r="E2" s="152" t="str">
        <x:v>URL</x:v>
      </x:c>
    </x:row>
    <x:row r="3" ht="68" customHeight="1">
      <x:c r="B3" s="153" t="str">
        <x:v>R01</x:v>
      </x:c>
      <x:c r="C3" s="153" t="str">
        <x:v>Saaty (1990), How to Make a Decision: The Analytic Hierarchy Process</x:v>
      </x:c>
      <x:c r="D3" s="153" t="str">
        <x:v>AHP method for defining criteria and comparing alternatives. It does not supply project costs or Green Factor credits.</x:v>
      </x:c>
      <x:c r="E3" s="154" t="str">
        <x:v>https://vpp.sbuf.se/Public/Documents/ProjectDocuments/06F167EF-B243-48ED-8C45-F7466B3136EB/WebPublishings/How%20to%20make%20decision%20AHP.pdf</x:v>
      </x:c>
    </x:row>
    <x:row r="4" ht="68" customHeight="1">
      <x:c r="B4" s="153" t="str">
        <x:v>R02</x:v>
      </x:c>
      <x:c r="C4" s="153" t="str">
        <x:v>CHaRIM, 6.2 Spatial Multi-Criteria Evaluation</x:v>
      </x:c>
      <x:c r="D4" s="153" t="str">
        <x:v>Spatial criteria and evaluation method for risk-reduction planning. It does not supply project costs.</x:v>
      </x:c>
      <x:c r="E4" s="154" t="str">
        <x:v>https://www.cdema.org/virtuallibrary/index.php/charim-hbook/methodology/6-risk-reduction-planning/6-2-spatial-multi-criteria-evaluation</x:v>
      </x:c>
    </x:row>
    <x:row r="5" ht="68" customHeight="1">
      <x:c r="B5" s="153" t="str">
        <x:v>R03</x:v>
      </x:c>
      <x:c r="C5" s="153" t="str">
        <x:v>Seattle SDCI, Seattle Green Factor</x:v>
      </x:c>
      <x:c r="D5" s="153" t="str">
        <x:v>Official Green Factor overview, scoring tools, and credit menu. Used here as a proxy framework, not as a NYC requirement.</x:v>
      </x:c>
      <x:c r="E5" s="154" t="str">
        <x:v>https://www.seattle.gov/construction-and-inspections/codes/codes-we-enforce-%28a-z%29/seattle-green-factor</x:v>
      </x:c>
    </x:row>
    <x:row r="6" ht="68" customHeight="1">
      <x:c r="B6" s="153" t="str">
        <x:v>R04</x:v>
      </x:c>
      <x:c r="C6" s="153" t="str">
        <x:v>Biophilic Cities, Seattle Green Factor</x:v>
      </x:c>
      <x:c r="D6" s="153" t="str">
        <x:v>Context for Seattle's score-based landscaping approach and project examples.</x:v>
      </x:c>
      <x:c r="E6" s="154" t="str">
        <x:v>https://www.biophiliccities.org/seattle-green-factor</x:v>
      </x:c>
    </x:row>
    <x:row r="7" ht="68" customHeight="1">
      <x:c r="B7" s="153" t="str">
        <x:v>R05</x:v>
      </x:c>
      <x:c r="C7" s="153" t="str">
        <x:v>Seattle Municipal Code §23.86.019, Green Factor</x:v>
      </x:c>
      <x:c r="D7" s="153" t="str">
        <x:v>Landscape categories, weighted scoring formula, bonuses, and limitations. Confirm the current worksheet for any project calculation.</x:v>
      </x:c>
      <x:c r="E7" s="154" t="str">
        <x:v>https://library.municode.com/wa/seattle/codes/municipal_code/304661?nodeId=TIT23LAUSCO_SUBTITLE_IVAD_CH23.86ME_23.86.019GRFA</x:v>
      </x:c>
    </x:row>
    <x:row r="8" ht="68" customHeight="1">
      <x:c r="B8" s="153" t="str">
        <x:v>R06</x:v>
      </x:c>
      <x:c r="C8" s="153" t="str">
        <x:v>Seattle SDCI, Director's Rule 11-2020</x:v>
      </x:c>
      <x:c r="D8" s="153" t="str">
        <x:v>Detailed landscape requirements, credit eligibility, native-plant, visibility, rainwater, food-cultivation, roof, wall, and bioretention criteria.</x:v>
      </x:c>
      <x:c r="E8" s="154" t="str">
        <x:v>https://www.seattle.gov/dpd/codes/dr/DR2020-11.pdf</x:v>
      </x:c>
    </x:row>
    <x:row r="9" ht="68" customHeight="1">
      <x:c r="B9" s="153" t="str">
        <x:v>R07</x:v>
      </x:c>
      <x:c r="C9" s="153" t="str">
        <x:v>NYC DEP, Types of Green Infrastructure</x:v>
      </x:c>
      <x:c r="D9" s="153" t="str">
        <x:v>NYC practice descriptions for rain gardens, greenstreets, green roofs, permeable paving, and other systems.</x:v>
      </x:c>
      <x:c r="E9" s="154" t="str">
        <x:v>https://www.nyc.gov/site/dep/water/types-of-green-infrastructure.page</x:v>
      </x:c>
    </x:row>
    <x:row r="10" ht="68" customHeight="1">
      <x:c r="B10" s="153" t="str">
        <x:v>R08</x:v>
      </x:c>
      <x:c r="C10" s="153" t="str">
        <x:v>NYC DEP, Resilient NYC Partners</x:v>
      </x:c>
      <x:c r="D10" s="153" t="str">
        <x:v>NYC program process and a typical 4–6 week construction window for participating sites.</x:v>
      </x:c>
      <x:c r="E10" s="154" t="str">
        <x:v>https://home4.nyc.gov/site/dep/whats-new/resilient-nyc-partners.page</x:v>
      </x:c>
    </x:row>
    <x:row r="11" ht="68" customHeight="1">
      <x:c r="B11" s="153" t="str">
        <x:v>R09</x:v>
      </x:c>
      <x:c r="C11" s="153" t="str">
        <x:v>NYC Council hearing, May 7, 2025</x:v>
      </x:c>
      <x:c r="D11" s="153" t="str">
        <x:v>DEP Deputy Commissioner testimony gave a $15,000–$20,000 average installation cost for bioswales or rain gardens.</x:v>
      </x:c>
      <x:c r="E11" s="154" t="str">
        <x:v>https://citymeetings.nyc/meetings/new-york-city-council/2025-05-07-0100-pm-committee-on-environmental-protection-resiliency-and-waterfronts/chapter/cost-and-effectiveness-of-bioswales-and-rain-gardens/</x:v>
      </x:c>
    </x:row>
    <x:row r="12" ht="68" customHeight="1">
      <x:c r="B12" s="153" t="str">
        <x:v>R10</x:v>
      </x:c>
      <x:c r="C12" s="153" t="str">
        <x:v>NYC Comptroller, DDC Rain Garden Audit</x:v>
      </x:c>
      <x:c r="D12" s="153" t="str">
        <x:v>Historical average DDC rain-garden construction cost of about $44,600 per site; landscape portion cited at $10,000–$15,000.</x:v>
      </x:c>
      <x:c r="E12" s="154" t="str">
        <x:v>https://comptroller.nyc.gov/reports/audit-report-on-the-department-of-design-and-constructions-oversight-of-maintenance-of-rain-gardens-during-the-guarantee-periods/</x:v>
      </x:c>
    </x:row>
    <x:row r="13" ht="68" customHeight="1">
      <x:c r="B13" s="153" t="str">
        <x:v>R11</x:v>
      </x:c>
      <x:c r="C13" s="153" t="str">
        <x:v>Wong et al. (2020), NYC Green Infrastructure Cost Model</x:v>
      </x:c>
      <x:c r="D13" s="153" t="str">
        <x:v>Published NYC planning unit costs include trees, bioswales, green roofs, community-garden beds, and permeable pavement.</x:v>
      </x:c>
      <x:c r="E13" s="154" t="str">
        <x:v>https://agupubs.onlinelibrary.wiley.com/doi/full/10.1029/2019WR027008</x:v>
      </x:c>
    </x:row>
    <x:row r="14" ht="68" customHeight="1">
      <x:c r="B14" s="153" t="str">
        <x:v>R12</x:v>
      </x:c>
      <x:c r="C14" s="153" t="str">
        <x:v>NYC Sustainable Stormwater Management Plan</x:v>
      </x:c>
      <x:c r="D14" s="153" t="str">
        <x:v>Published green-roof and cistern/rain-barrel cost ranges. Older plan; figures are nominal and not inflation-adjusted.</x:v>
      </x:c>
      <x:c r="E14" s="154" t="str">
        <x:v>https://www.nyc.gov/html/planyc/downloads/pdf/publications/nyc_sustainable_stormwater_management_plan_final.pdf</x:v>
      </x:c>
    </x:row>
    <x:row r="15" ht="68" customHeight="1">
      <x:c r="B15" s="153" t="str">
        <x:v>R13</x:v>
      </x:c>
      <x:c r="C15" s="153" t="str">
        <x:v>NYC DOB, Green Roofs</x:v>
      </x:c>
      <x:c r="D15" s="153" t="str">
        <x:v>NYC roof structural review and filing requirements for green-roof installations.</x:v>
      </x:c>
      <x:c r="E15" s="154" t="str">
        <x:v>https://www.nyc.gov/site/buildings/codes/green-roofs.page</x:v>
      </x:c>
    </x:row>
    <x:row r="16" ht="68" customHeight="1">
      <x:c r="B16" s="153" t="str">
        <x:v>R14</x:v>
      </x:c>
      <x:c r="C16" s="153" t="str">
        <x:v>Massachusetts Climate Resilience Design Guidance, Green Walls</x:v>
      </x:c>
      <x:c r="D16" s="153" t="str">
        <x:v>Green-façade cost estimate and a cited New York City modular living-wall example.</x:v>
      </x:c>
      <x:c r="E16" s="154" t="str">
        <x:v>https://www.mass.gov/doc/climate-resilience-design-guidance/download</x:v>
      </x:c>
    </x:row>
    <x:row r="17" ht="68" customHeight="1">
      <x:c r="B17" s="153" t="str">
        <x:v>R15</x:v>
      </x:c>
      <x:c r="C17" s="153" t="str">
        <x:v>Landscaping in NYC, pricing page</x:v>
      </x:c>
      <x:c r="D17" s="153" t="str">
        <x:v>Current NYC-area contractor estimate for a native perennial bed installed at $12–$20 per square foot.</x:v>
      </x:c>
      <x:c r="E17" s="154" t="str">
        <x:v>https://www.landscapinginnyc.com/pricing</x:v>
      </x:c>
    </x:row>
    <x:row r="18" ht="68" customHeight="1">
      <x:c r="B18" s="153" t="str">
        <x:v>R16</x:v>
      </x:c>
      <x:c r="C18" s="153" t="str">
        <x:v>Handoff, Manhattan garden-bed cost guide</x:v>
      </x:c>
      <x:c r="D18" s="153" t="str">
        <x:v>Current Manhattan planning estimate of $206–$470 per raised garden bed.</x:v>
      </x:c>
      <x:c r="E18" s="154" t="str">
        <x:v>https://www.handoff.ai/construction-costs/install-garden-beds/manhattan-ny</x:v>
      </x:c>
    </x:row>
    <x:row r="19" ht="68" customHeight="1">
      <x:c r="B19" s="153" t="str">
        <x:v>R17</x:v>
      </x:c>
      <x:c r="C19" s="153" t="str">
        <x:v>Brooklyn Greenroof, installation FAQ</x:v>
      </x:c>
      <x:c r="D19" s="153" t="str">
        <x:v>Local contractor's typical 1–3 week installation estimate, depending on green-roof size.</x:v>
      </x:c>
      <x:c r="E19" s="154" t="str">
        <x:v>https://www.brooklyngreenroof.com/read-me</x:v>
      </x:c>
    </x:row>
    <x:row r="20" ht="68" customHeight="1">
      <x:c r="B20" s="153" t="str">
        <x:v>R18</x:v>
      </x:c>
      <x:c r="C20" s="153" t="str">
        <x:v>NYCHA Design Guidelines, Community Gardens</x:v>
      </x:c>
      <x:c r="D20" s="153" t="str">
        <x:v>NYC design requirements and considerations for accessible raised beds, sunlight, water, and resident input.</x:v>
      </x:c>
      <x:c r="E20" s="154" t="str">
        <x:v>https://designguidelines.nycha.info/community-gardens/</x:v>
      </x:c>
    </x:row>
    <x:row r="21" ht="68" customHeight="1">
      <x:c r="B21" s="153" t="str">
        <x:v>R19</x:v>
      </x:c>
      <x:c r="C21" s="153" t="str">
        <x:v>NYC DEP, 2024 Green Infrastructure Program Update</x:v>
      </x:c>
      <x:c r="D21" s="153" t="str">
        <x:v>Recent NYC program context and installed practice types; not used as a unit-cost source.</x:v>
      </x:c>
      <x:c r="E21" s="154" t="str">
        <x:v>https://www.nyc.gov/assets/dep/downloads/pdf/water/stormwater/green-infrastructure/gi-annual-report-2024.pdf</x:v>
      </x:c>
    </x:row>
    <x:row r="22" ht="68" customHeight="1">
      <x:c r="B22" s="153" t="str">
        <x:v>R20</x:v>
      </x:c>
      <x:c r="C22" s="153" t="str">
        <x:v>NYC Green Infrastructure Guide</x:v>
      </x:c>
      <x:c r="D22" s="153" t="str">
        <x:v>Practice examples and a Lower East Side rain-garden case with a published project cost.</x:v>
      </x:c>
      <x:c r="E22" s="154" t="str">
        <x:v>https://www.soilandwater.nyc/files/b9672423f/giguide_final_web.pdf</x:v>
      </x:c>
    </x:row>
  </x:sheetData>
  <x:mergeCells>
    <x:mergeCell ref="B1:E1"/>
  </x:mergeCells>
  <x:pageMargins left="0.7" right="0.7" top="0.75" bottom="0.75" header="0.3" footer="0.3"/>
</x:worksheet>
</file>