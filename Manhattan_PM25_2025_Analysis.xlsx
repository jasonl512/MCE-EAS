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776a942c9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092623a69847e2"/>
    <x:sheet xmlns:r="http://schemas.openxmlformats.org/officeDocument/2006/relationships" name="Manhattan Data" sheetId="2" r:id="R546e070fc21641f3"/>
    <x:sheet xmlns:r="http://schemas.openxmlformats.org/officeDocument/2006/relationships" name="Raw Data" sheetId="3" r:id="R55e6f171b60542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1">
    <x:font>
      <x:sz val="11"/>
      <x:name val="Carlito"/>
    </x:font>
    <x:font>
      <x:b/>
      <x:sz val="16"/>
      <x:color rgb="FF111111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i/>
      <x:sz val="10"/>
      <x:color rgb="FF333333"/>
      <x:name val="Arial"/>
    </x:font>
    <x:font>
      <x:b/>
      <x:sz val="14"/>
      <x:color rgb="FF111111"/>
      <x:name val="Arial"/>
    </x:font>
    <x:font>
      <x:i/>
      <x:sz val="9"/>
      <x:color rgb="FF555555"/>
      <x:name val="Arial"/>
    </x:font>
    <x:font>
      <x:b/>
      <x:sz val="9"/>
      <x:color rgb="FFFFFFFF"/>
      <x:name val="Arial"/>
    </x:font>
    <x:font>
      <x:sz val="9"/>
      <x:color rgb="FF222222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2222"/>
      </x:patternFill>
    </x:fill>
    <x:fill>
      <x:patternFill patternType="solid">
        <x:fgColor rgb="FF444444"/>
      </x:patternFill>
    </x:fill>
  </x:fills>
  <x:borders count="9">
    <x:border/>
    <x:border>
      <x:bottom style="thin">
        <x:color rgb="FF33333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double">
        <x:color rgb="FF333333"/>
      </x:bottom>
    </x:border>
    <x:border>
      <x:bottom style="thin">
        <x:color rgb="FFE1E1E1"/>
      </x:bottom>
    </x:border>
    <x:border>
      <x:top style="thin">
        <x:color rgb="FFE1E1E1"/>
      </x:top>
      <x:bottom style="thin">
        <x:color rgb="FFE1E1E1"/>
      </x:bottom>
    </x:border>
    <x:border>
      <x:top style="thin">
        <x:color rgb="FFE1E1E1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4f155fadb4e87" /><Relationship Type="http://schemas.openxmlformats.org/officeDocument/2006/relationships/theme" Target="/xl/theme/theme1.xml" Id="R9d9386aec04f4979" /><Relationship Type="http://schemas.openxmlformats.org/officeDocument/2006/relationships/sharedStrings" Target="/xl/sharedStrings.xml" Id="R4f48b02477d54043" /><Relationship Type="http://schemas.openxmlformats.org/officeDocument/2006/relationships/worksheet" Target="/xl/worksheets/sheet1.xml" Id="R47092623a69847e2" /><Relationship Type="http://schemas.openxmlformats.org/officeDocument/2006/relationships/worksheet" Target="/xl/worksheets/sheet2.xml" Id="R546e070fc21641f3" /><Relationship Type="http://schemas.openxmlformats.org/officeDocument/2006/relationships/worksheet" Target="/xl/worksheets/sheet3.xml" Id="R55e6f171b60542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77f04c260a4e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2025 Annual Mean PM2.5 by Manhattan Community District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Annual mean (µg/m³)</c:v>
          </c:tx>
          <c:spPr>
            <a:solidFill xmlns:a="http://schemas.openxmlformats.org/drawingml/2006/main">
              <a:srgbClr val="111111"/>
            </a:solidFill>
          </c:spPr>
          <c:cat>
            <c:strRef>
              <c:f>'Manhattan Data'!$T$5:$T$16</c:f>
              <c:strCache>
                <c:ptCount val="0"/>
              </c:strCache>
            </c:strRef>
          </c:cat>
          <c:val>
            <c:numRef>
              <c:f>'Manhattan Data'!$U$5:$U$16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77f04c260a4e8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hattanPM25Table" displayName="ManhattanPM25Table" ref="A4:F16" headerRowCount="1" totalsRowCount="0" totalsRowShown="0">
  <x:tableColumns count="6">
    <x:tableColumn id="1" name="Rank"/>
    <x:tableColumn id="2" name="Community district"/>
    <x:tableColumn id="3" name="Annual mean (µg/m³)"/>
    <x:tableColumn id="4" name="Summer mean (µg/m³)"/>
    <x:tableColumn id="5" name="Winter mean (µg/m³)"/>
    <x:tableColumn id="6" name="Summer minus annual"/>
  </x:tableColumns>
  <x:tableStyleInfo name="TableStyleMedium1" showFirstColumn="0" showLastColumn="0" showRowStripes="1" showColumnStripes="0"/>
</x:table>
</file>

<file path=xl/tables/table2.xml><?xml version="1.0" encoding="utf-8"?>
<x:table xmlns:x="http://schemas.openxmlformats.org/spreadsheetml/2006/main" id="2" name="RawPM25Table" displayName="RawPM25Table" ref="A3:K144" headerRowCount="1" totalsRowCount="0" totalsRowShown="0">
  <x:tableColumns count="11">
    <x:tableColumn id="1" name="TimePeriod"/>
    <x:tableColumn id="2" name="GeoTypeDesc"/>
    <x:tableColumn id="3" name="GeoID"/>
    <x:tableColumn id="4" name="GeoRank"/>
    <x:tableColumn id="5" name="BoroID"/>
    <x:tableColumn id="6" name="Borough"/>
    <x:tableColumn id="7" name="Geography"/>
    <x:tableColumn id="8" name="Area"/>
    <x:tableColumn id="9" name="Annual mean mcg/m3"/>
    <x:tableColumn id="10" name="Summer mean mcg/m3"/>
    <x:tableColumn id="11" name="Winter mean mcg/m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8e2e65b777b4555" /><Relationship Type="http://schemas.openxmlformats.org/officeDocument/2006/relationships/table" Target="/xl/tables/table1.xml" Id="R7ead405b4eb64a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6162e6bd304c8a" /></Relationships>
</file>

<file path=xl/worksheets/sheet1.xml><?xml version="1.0" encoding="utf-8"?>
<x:worksheet xmlns:x="http://schemas.openxmlformats.org/spreadsheetml/2006/main">
  <x:sheetPr>
    <x:tabColor rgb="FF222222"/>
  </x:sheetPr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46" hidden="0" customWidth="1"/>
  </x:cols>
  <x:sheetData>
    <x:row r="1">
      <x:c r="A1" s="50"/>
      <x:c r="B1" s="50"/>
      <x:c r="C1" s="50"/>
      <x:c r="D1" s="50"/>
      <x:c r="E1" s="50"/>
      <x:c r="F1" s="50"/>
      <x:c r="G1" s="50"/>
      <x:c r="H1" s="50"/>
    </x:row>
    <x:row r="2">
      <x:c r="A2" s="1" t="str">
        <x:v>Manhattan PM2.5 Analysis</x:v>
      </x:c>
      <x:c r="B2" s="50"/>
      <x:c r="C2" s="50"/>
      <x:c r="D2" s="50"/>
      <x:c r="E2" s="50"/>
      <x:c r="F2" s="50"/>
      <x:c r="G2" s="50"/>
      <x:c r="H2" s="50"/>
    </x:row>
    <x:row r="3">
      <x:c r="A3" s="51"/>
      <x:c r="B3" s="51"/>
      <x:c r="C3" s="51"/>
      <x:c r="D3" s="51"/>
      <x:c r="E3" s="51"/>
      <x:c r="F3" s="51"/>
      <x:c r="G3" s="51"/>
      <x:c r="H3" s="51"/>
    </x:row>
    <x:row r="4">
      <x:c r="A4" s="3" t="str">
        <x:v>2025 annual, summer, and winter means by Manhattan community district (µg/m³)</x:v>
      </x:c>
      <x:c r="B4" s="50"/>
      <x:c r="C4" s="50"/>
      <x:c r="D4" s="50"/>
      <x:c r="E4" s="50"/>
      <x:c r="F4" s="50"/>
      <x:c r="G4" s="50"/>
      <x:c r="H4" s="50"/>
    </x:row>
    <x:row r="5">
      <x:c r="A5" s="50"/>
      <x:c r="B5" s="50"/>
      <x:c r="C5" s="50"/>
      <x:c r="D5" s="50"/>
      <x:c r="E5" s="50"/>
      <x:c r="F5" s="50"/>
      <x:c r="G5" s="50"/>
      <x:c r="H5" s="50"/>
    </x:row>
    <x:row r="6">
      <x:c r="A6" s="12" t="str">
        <x:v>Metric</x:v>
      </x:c>
      <x:c r="B6" s="13" t="str">
        <x:v>Value</x:v>
      </x:c>
      <x:c r="C6" s="14" t="str">
        <x:v>District</x:v>
      </x:c>
      <x:c r="D6" s="50"/>
      <x:c r="E6" s="50"/>
      <x:c r="F6" s="50"/>
      <x:c r="G6" s="50"/>
      <x:c r="H6" s="50"/>
    </x:row>
    <x:row r="7">
      <x:c r="A7" s="16" t="str">
        <x:v>Average annual mean</x:v>
      </x:c>
      <x:c r="B7" s="17" t="n">
        <x:f>AVERAGE('Manhattan Data'!C5:C16)</x:f>
        <x:v>7.433333333333334</x:v>
      </x:c>
      <x:c r="C7" s="16"/>
      <x:c r="D7" s="50"/>
      <x:c r="E7" s="50"/>
      <x:c r="F7" s="50"/>
      <x:c r="G7" s="50"/>
      <x:c r="H7" s="50"/>
    </x:row>
    <x:row r="8">
      <x:c r="A8" s="16" t="str">
        <x:v>Highest annual mean</x:v>
      </x:c>
      <x:c r="B8" s="17" t="n">
        <x:f>MAX('Manhattan Data'!C5:C16)</x:f>
        <x:v>9.7</x:v>
      </x:c>
      <x:c r="C8" s="16" t="str">
        <x:f>INDEX('Manhattan Data'!B5:B16,MATCH(B8,'Manhattan Data'!C5:C16,0))</x:f>
        <x:v>Midtown (CD5)</x:v>
      </x:c>
      <x:c r="D8" s="50"/>
      <x:c r="E8" s="50"/>
      <x:c r="F8" s="50"/>
      <x:c r="G8" s="50"/>
      <x:c r="H8" s="50"/>
    </x:row>
    <x:row r="9">
      <x:c r="A9" s="16" t="str">
        <x:v>Lowest annual mean</x:v>
      </x:c>
      <x:c r="B9" s="17" t="n">
        <x:f>MIN('Manhattan Data'!C5:C16)</x:f>
        <x:v>6.5</x:v>
      </x:c>
      <x:c r="C9" s="16" t="str">
        <x:f>INDEX('Manhattan Data'!B5:B16,MATCH(B9,'Manhattan Data'!C5:C16,0))</x:f>
        <x:v>East Harlem (CD11)</x:v>
      </x:c>
      <x:c r="D9" s="50"/>
      <x:c r="E9" s="50"/>
      <x:c r="F9" s="50"/>
      <x:c r="G9" s="50"/>
      <x:c r="H9" s="50"/>
    </x:row>
    <x:row r="10">
      <x:c r="A10" s="18" t="str">
        <x:v>Annual range</x:v>
      </x:c>
      <x:c r="B10" s="19" t="n">
        <x:f>B8-B9</x:f>
        <x:v>3.1999999999999993</x:v>
      </x:c>
      <x:c r="C10" s="18"/>
      <x:c r="D10" s="50"/>
      <x:c r="E10" s="50"/>
      <x:c r="F10" s="50"/>
      <x:c r="G10" s="50"/>
      <x:c r="H10" s="50"/>
    </x:row>
    <x:row r="11">
      <x:c r="A11" s="50"/>
      <x:c r="B11" s="50"/>
      <x:c r="C11" s="50"/>
      <x:c r="D11" s="50"/>
      <x:c r="E11" s="50"/>
      <x:c r="F11" s="50"/>
      <x:c r="G11" s="50"/>
      <x:c r="H11" s="50"/>
    </x:row>
    <x:row r="12" ht="34" customHeight="1">
      <x:c r="A12" s="21" t="str">
        <x:v>Interpretation: Midtown has the highest annual mean in this dataset. Summer values are higher than annual and winter values across all 12 districts.</x:v>
      </x:c>
      <x:c r="B12" s="50"/>
      <x:c r="C12" s="50"/>
      <x:c r="D12" s="50"/>
      <x:c r="E12" s="50"/>
      <x:c r="F12" s="50"/>
      <x:c r="G12" s="50"/>
      <x:c r="H12" s="50"/>
    </x:row>
    <x:row r="13">
      <x:c r="A13" s="50"/>
      <x:c r="B13" s="50"/>
      <x:c r="C13" s="50"/>
      <x:c r="D13" s="50"/>
      <x:c r="E13" s="50"/>
      <x:c r="F13" s="50"/>
      <x:c r="G13" s="50"/>
      <x:c r="H13" s="50"/>
    </x:row>
    <x:row r="14">
      <x:c r="A14" s="50"/>
      <x:c r="B14" s="50"/>
      <x:c r="C14" s="50"/>
      <x:c r="D14" s="50"/>
      <x:c r="E14" s="50"/>
      <x:c r="F14" s="50"/>
      <x:c r="G14" s="50"/>
      <x:c r="H14" s="50"/>
    </x:row>
  </x:sheetData>
  <x:mergeCells>
    <x:mergeCell ref="A2:H2"/>
    <x:mergeCell ref="A4:H4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7777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2">
      <x:c r="A2" s="22" t="str">
        <x:v>2025 PM2.5 by Manhattan Community District</x:v>
      </x:c>
    </x:row>
    <x:row r="3">
      <x:c r="A3" s="23" t="str">
        <x:v>Source: NYC Environment &amp; Health Data Portal — https://a816-dohbesp.nyc.gov/IndicatorPublic/data-explorer/air-quality/?id=2023#display=map</x:v>
      </x:c>
    </x:row>
    <x:row r="4" ht="34" customHeight="1">
      <x:c r="A4" s="30" t="str">
        <x:v>Rank</x:v>
      </x:c>
      <x:c r="B4" s="31" t="str">
        <x:v>Community district</x:v>
      </x:c>
      <x:c r="C4" s="31" t="str">
        <x:v>Annual mean (µg/m³)</x:v>
      </x:c>
      <x:c r="D4" s="31" t="str">
        <x:v>Summer mean (µg/m³)</x:v>
      </x:c>
      <x:c r="E4" s="31" t="str">
        <x:v>Winter mean (µg/m³)</x:v>
      </x:c>
      <x:c r="F4" s="32" t="str">
        <x:v>Summer minus annual</x:v>
      </x:c>
      <x:c r="T4" t="str">
        <x:v>Community district</x:v>
      </x:c>
      <x:c r="U4" t="str">
        <x:v>Annual mean (µg/m³)</x:v>
      </x:c>
    </x:row>
    <x:row r="5" ht="22" customHeight="1">
      <x:c r="A5" s="34" t="n">
        <x:v>1</x:v>
      </x:c>
      <x:c r="B5" s="35" t="str">
        <x:v>Midtown (CD5)</x:v>
      </x:c>
      <x:c r="C5" s="36" t="n">
        <x:v>9.7</x:v>
      </x:c>
      <x:c r="D5" s="36" t="n">
        <x:v>11</x:v>
      </x:c>
      <x:c r="E5" s="36" t="n">
        <x:v>10.3</x:v>
      </x:c>
      <x:c r="F5" s="36" t="n">
        <x:f>D5-C5</x:f>
        <x:v>1.3000000000000007</x:v>
      </x:c>
      <x:c r="T5" t="str">
        <x:v>CD5</x:v>
      </x:c>
      <x:c r="U5" t="n">
        <x:v>9.7</x:v>
      </x:c>
    </x:row>
    <x:row r="6" ht="22" customHeight="1">
      <x:c r="A6" s="37" t="n">
        <x:v>2</x:v>
      </x:c>
      <x:c r="B6" s="38" t="str">
        <x:v>Greenwich Village and Soho (CD2)</x:v>
      </x:c>
      <x:c r="C6" s="39" t="n">
        <x:v>8.8</x:v>
      </x:c>
      <x:c r="D6" s="39" t="n">
        <x:v>10.3</x:v>
      </x:c>
      <x:c r="E6" s="39" t="n">
        <x:v>9.2</x:v>
      </x:c>
      <x:c r="F6" s="39" t="n">
        <x:f>D6-C6</x:f>
        <x:v>1.5</x:v>
      </x:c>
      <x:c r="T6" t="str">
        <x:v>CD2</x:v>
      </x:c>
      <x:c r="U6" t="n">
        <x:v>8.8</x:v>
      </x:c>
    </x:row>
    <x:row r="7" ht="22" customHeight="1">
      <x:c r="A7" s="37" t="n">
        <x:v>3</x:v>
      </x:c>
      <x:c r="B7" s="38" t="str">
        <x:v>Clinton and Chelsea (CD4)</x:v>
      </x:c>
      <x:c r="C7" s="39" t="n">
        <x:v>8.1</x:v>
      </x:c>
      <x:c r="D7" s="39" t="n">
        <x:v>9.6</x:v>
      </x:c>
      <x:c r="E7" s="39" t="n">
        <x:v>8.4</x:v>
      </x:c>
      <x:c r="F7" s="39" t="n">
        <x:f>D7-C7</x:f>
        <x:v>1.5</x:v>
      </x:c>
      <x:c r="T7" t="str">
        <x:v>CD4</x:v>
      </x:c>
      <x:c r="U7" t="n">
        <x:v>8.1</x:v>
      </x:c>
    </x:row>
    <x:row r="8" ht="22" customHeight="1">
      <x:c r="A8" s="37" t="n">
        <x:v>4</x:v>
      </x:c>
      <x:c r="B8" s="38" t="str">
        <x:v>Stuyvesant Town and Turtle Bay (CD6)</x:v>
      </x:c>
      <x:c r="C8" s="39" t="n">
        <x:v>7.9</x:v>
      </x:c>
      <x:c r="D8" s="39" t="n">
        <x:v>9.5</x:v>
      </x:c>
      <x:c r="E8" s="39" t="n">
        <x:v>8.2</x:v>
      </x:c>
      <x:c r="F8" s="39" t="n">
        <x:f>D8-C8</x:f>
        <x:v>1.5999999999999996</x:v>
      </x:c>
      <x:c r="T8" t="str">
        <x:v>CD6</x:v>
      </x:c>
      <x:c r="U8" t="n">
        <x:v>7.9</x:v>
      </x:c>
    </x:row>
    <x:row r="9" ht="22" customHeight="1">
      <x:c r="A9" s="37" t="n">
        <x:v>5</x:v>
      </x:c>
      <x:c r="B9" s="38" t="str">
        <x:v>Lower East Side and Chinatown (CD3)</x:v>
      </x:c>
      <x:c r="C9" s="39" t="n">
        <x:v>7.6</x:v>
      </x:c>
      <x:c r="D9" s="39" t="n">
        <x:v>9.3</x:v>
      </x:c>
      <x:c r="E9" s="39" t="n">
        <x:v>7.9</x:v>
      </x:c>
      <x:c r="F9" s="39" t="n">
        <x:f>D9-C9</x:f>
        <x:v>1.700000000000001</x:v>
      </x:c>
      <x:c r="T9" t="str">
        <x:v>CD3</x:v>
      </x:c>
      <x:c r="U9" t="n">
        <x:v>7.6</x:v>
      </x:c>
    </x:row>
    <x:row r="10" ht="22" customHeight="1">
      <x:c r="A10" s="37" t="n">
        <x:v>6</x:v>
      </x:c>
      <x:c r="B10" s="38" t="str">
        <x:v>Financial District (CD1)</x:v>
      </x:c>
      <x:c r="C10" s="39" t="n">
        <x:v>7.5</x:v>
      </x:c>
      <x:c r="D10" s="39" t="n">
        <x:v>9.2</x:v>
      </x:c>
      <x:c r="E10" s="39" t="n">
        <x:v>7.8</x:v>
      </x:c>
      <x:c r="F10" s="39" t="n">
        <x:f>D10-C10</x:f>
        <x:v>1.6999999999999993</x:v>
      </x:c>
      <x:c r="T10" t="str">
        <x:v>CD1</x:v>
      </x:c>
      <x:c r="U10" t="n">
        <x:v>7.5</x:v>
      </x:c>
    </x:row>
    <x:row r="11" ht="22" customHeight="1">
      <x:c r="A11" s="37" t="n">
        <x:v>7</x:v>
      </x:c>
      <x:c r="B11" s="38" t="str">
        <x:v>Upper East Side (CD8)</x:v>
      </x:c>
      <x:c r="C11" s="39" t="n">
        <x:v>6.8</x:v>
      </x:c>
      <x:c r="D11" s="39" t="n">
        <x:v>8.5</x:v>
      </x:c>
      <x:c r="E11" s="39" t="n">
        <x:v>6.9</x:v>
      </x:c>
      <x:c r="F11" s="39" t="n">
        <x:f>D11-C11</x:f>
        <x:v>1.7000000000000002</x:v>
      </x:c>
      <x:c r="T11" t="str">
        <x:v>CD8</x:v>
      </x:c>
      <x:c r="U11" t="n">
        <x:v>6.8</x:v>
      </x:c>
    </x:row>
    <x:row r="12" ht="22" customHeight="1">
      <x:c r="A12" s="37" t="n">
        <x:v>8</x:v>
      </x:c>
      <x:c r="B12" s="38" t="str">
        <x:v>Central Harlem (CD10)</x:v>
      </x:c>
      <x:c r="C12" s="39" t="n">
        <x:v>6.7</x:v>
      </x:c>
      <x:c r="D12" s="39" t="n">
        <x:v>8.4</x:v>
      </x:c>
      <x:c r="E12" s="39" t="n">
        <x:v>6.7</x:v>
      </x:c>
      <x:c r="F12" s="39" t="n">
        <x:f>D12-C12</x:f>
        <x:v>1.7000000000000002</x:v>
      </x:c>
      <x:c r="T12" t="str">
        <x:v>CD10</x:v>
      </x:c>
      <x:c r="U12" t="n">
        <x:v>6.7</x:v>
      </x:c>
    </x:row>
    <x:row r="13" ht="22" customHeight="1">
      <x:c r="A13" s="37" t="n">
        <x:v>9</x:v>
      </x:c>
      <x:c r="B13" s="38" t="str">
        <x:v>Morningside Heights and Hamilton Heights (CD9)</x:v>
      </x:c>
      <x:c r="C13" s="39" t="n">
        <x:v>6.6</x:v>
      </x:c>
      <x:c r="D13" s="39" t="n">
        <x:v>8.3</x:v>
      </x:c>
      <x:c r="E13" s="39" t="n">
        <x:v>6.7</x:v>
      </x:c>
      <x:c r="F13" s="39" t="n">
        <x:f>D13-C13</x:f>
        <x:v>1.700000000000001</x:v>
      </x:c>
      <x:c r="T13" t="str">
        <x:v>CD9</x:v>
      </x:c>
      <x:c r="U13" t="n">
        <x:v>6.6</x:v>
      </x:c>
    </x:row>
    <x:row r="14" ht="22" customHeight="1">
      <x:c r="A14" s="37" t="n">
        <x:v>10</x:v>
      </x:c>
      <x:c r="B14" s="38" t="str">
        <x:v>East Harlem (CD11)</x:v>
      </x:c>
      <x:c r="C14" s="39" t="n">
        <x:v>6.5</x:v>
      </x:c>
      <x:c r="D14" s="39" t="n">
        <x:v>8.2</x:v>
      </x:c>
      <x:c r="E14" s="39" t="n">
        <x:v>6.6</x:v>
      </x:c>
      <x:c r="F14" s="39" t="n">
        <x:f>D14-C14</x:f>
        <x:v>1.6999999999999993</x:v>
      </x:c>
      <x:c r="T14" t="str">
        <x:v>CD11</x:v>
      </x:c>
      <x:c r="U14" t="n">
        <x:v>6.5</x:v>
      </x:c>
    </x:row>
    <x:row r="15" ht="22" customHeight="1">
      <x:c r="A15" s="37" t="n">
        <x:v>11</x:v>
      </x:c>
      <x:c r="B15" s="38" t="str">
        <x:v>Upper West Side (CD7)</x:v>
      </x:c>
      <x:c r="C15" s="39" t="n">
        <x:v>6.5</x:v>
      </x:c>
      <x:c r="D15" s="39" t="n">
        <x:v>8.3</x:v>
      </x:c>
      <x:c r="E15" s="39" t="n">
        <x:v>6.6</x:v>
      </x:c>
      <x:c r="F15" s="39" t="n">
        <x:f>D15-C15</x:f>
        <x:v>1.8000000000000007</x:v>
      </x:c>
      <x:c r="T15" t="str">
        <x:v>CD7</x:v>
      </x:c>
      <x:c r="U15" t="n">
        <x:v>6.5</x:v>
      </x:c>
    </x:row>
    <x:row r="16" ht="22" customHeight="1">
      <x:c r="A16" s="40" t="n">
        <x:v>12</x:v>
      </x:c>
      <x:c r="B16" s="41" t="str">
        <x:v>Washington Heights and Inwood (CD12)</x:v>
      </x:c>
      <x:c r="C16" s="42" t="n">
        <x:v>6.5</x:v>
      </x:c>
      <x:c r="D16" s="42" t="n">
        <x:v>8.3</x:v>
      </x:c>
      <x:c r="E16" s="42" t="n">
        <x:v>6.6</x:v>
      </x:c>
      <x:c r="F16" s="42" t="n">
        <x:f>D16-C16</x:f>
        <x:v>1.8000000000000007</x:v>
      </x:c>
      <x:c r="T16" t="str">
        <x:v>CD12</x:v>
      </x:c>
      <x:c r="U16" t="n">
        <x:v>6.5</x:v>
      </x:c>
    </x:row>
  </x:sheetData>
  <x:mergeCells>
    <x:mergeCell ref="A2:F2"/>
    <x:mergeCell ref="A3:F3"/>
  </x:mergeCells>
  <x:pageMargins left="0.7" right="0.7" top="0.75" bottom="0.75" header="0.3" footer="0.3"/>
  <x:drawing xmlns:r="http://schemas.openxmlformats.org/officeDocument/2006/relationships" r:id="Rd8e2e65b777b4555"/>
  <x:tableParts count="1">
    <x:tablePart xmlns:r="http://schemas.openxmlformats.org/officeDocument/2006/relationships" r:id="R7ead405b4eb64a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21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39" hidden="0" customWidth="1"/>
    <x:col min="8" max="8" width="39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23" t="str">
        <x:v>Source: NYC Environment &amp; Health Data Portal — https://a816-dohbesp.nyc.gov/IndicatorPublic/data-explorer/air-quality/?id=2023#display=map</x:v>
      </x:c>
    </x:row>
    <x:row r="3" ht="34" customHeight="1">
      <x:c r="A3" s="47" t="str">
        <x:v>TimePeriod</x:v>
      </x:c>
      <x:c r="B3" s="47" t="str">
        <x:v>GeoTypeDesc</x:v>
      </x:c>
      <x:c r="C3" s="47" t="str">
        <x:v>GeoID</x:v>
      </x:c>
      <x:c r="D3" s="47" t="str">
        <x:v>GeoRank</x:v>
      </x:c>
      <x:c r="E3" s="47" t="str">
        <x:v>BoroID</x:v>
      </x:c>
      <x:c r="F3" s="47" t="str">
        <x:v>Borough</x:v>
      </x:c>
      <x:c r="G3" s="47" t="str">
        <x:v>Geography</x:v>
      </x:c>
      <x:c r="H3" s="47" t="str">
        <x:v>Area</x:v>
      </x:c>
      <x:c r="I3" s="47" t="str">
        <x:v>Annual mean mcg/m3</x:v>
      </x:c>
      <x:c r="J3" s="47" t="str">
        <x:v>Summer mean mcg/m3</x:v>
      </x:c>
      <x:c r="K3" s="47" t="str">
        <x:v>Winter mean mcg/m3</x:v>
      </x:c>
    </x:row>
    <x:row r="4">
      <x:c r="A4" s="48" t="n">
        <x:v>2025</x:v>
      </x:c>
      <x:c r="B4" s="48" t="str">
        <x:v>Citywide</x:v>
      </x:c>
      <x:c r="C4" s="48" t="n">
        <x:v>1</x:v>
      </x:c>
      <x:c r="D4" s="48" t="n">
        <x:v>0</x:v>
      </x:c>
      <x:c r="E4" s="48" t="str">
        <x:v>-</x:v>
      </x:c>
      <x:c r="F4" s="48" t="str">
        <x:v>-</x:v>
      </x:c>
      <x:c r="G4" s="48" t="str">
        <x:v>New York City</x:v>
      </x:c>
      <x:c r="H4" s="48" t="str">
        <x:v>New York City</x:v>
      </x:c>
      <x:c r="I4" s="49" t="n">
        <x:v>6.3</x:v>
      </x:c>
      <x:c r="J4" s="49" t="n">
        <x:v>8</x:v>
      </x:c>
      <x:c r="K4" s="49" t="n">
        <x:v>6.4</x:v>
      </x:c>
    </x:row>
    <x:row r="5">
      <x:c r="A5" s="48" t="n">
        <x:v>2025</x:v>
      </x:c>
      <x:c r="B5" s="48" t="str">
        <x:v>Borough</x:v>
      </x:c>
      <x:c r="C5" s="48" t="n">
        <x:v>1</x:v>
      </x:c>
      <x:c r="D5" s="48" t="n">
        <x:v>1</x:v>
      </x:c>
      <x:c r="E5" s="48" t="n">
        <x:v>1</x:v>
      </x:c>
      <x:c r="F5" s="48" t="str">
        <x:v>Bronx</x:v>
      </x:c>
      <x:c r="G5" s="48" t="str">
        <x:v>Bronx</x:v>
      </x:c>
      <x:c r="H5" s="48" t="str">
        <x:v>Bronx</x:v>
      </x:c>
      <x:c r="I5" s="49" t="n">
        <x:v>6.5</x:v>
      </x:c>
      <x:c r="J5" s="49" t="n">
        <x:v>8.1</x:v>
      </x:c>
      <x:c r="K5" s="49" t="n">
        <x:v>6.5</x:v>
      </x:c>
    </x:row>
    <x:row r="6">
      <x:c r="A6" s="48" t="n">
        <x:v>2025</x:v>
      </x:c>
      <x:c r="B6" s="48" t="str">
        <x:v>Borough</x:v>
      </x:c>
      <x:c r="C6" s="48" t="n">
        <x:v>2</x:v>
      </x:c>
      <x:c r="D6" s="48" t="n">
        <x:v>1</x:v>
      </x:c>
      <x:c r="E6" s="48" t="n">
        <x:v>2</x:v>
      </x:c>
      <x:c r="F6" s="48" t="str">
        <x:v>Brooklyn</x:v>
      </x:c>
      <x:c r="G6" s="48" t="str">
        <x:v>Brooklyn</x:v>
      </x:c>
      <x:c r="H6" s="48" t="str">
        <x:v>Brooklyn</x:v>
      </x:c>
      <x:c r="I6" s="49" t="n">
        <x:v>6.3</x:v>
      </x:c>
      <x:c r="J6" s="49" t="n">
        <x:v>8.1</x:v>
      </x:c>
      <x:c r="K6" s="49" t="n">
        <x:v>6.4</x:v>
      </x:c>
    </x:row>
    <x:row r="7">
      <x:c r="A7" s="48" t="n">
        <x:v>2025</x:v>
      </x:c>
      <x:c r="B7" s="48" t="str">
        <x:v>Borough</x:v>
      </x:c>
      <x:c r="C7" s="48" t="n">
        <x:v>3</x:v>
      </x:c>
      <x:c r="D7" s="48" t="n">
        <x:v>1</x:v>
      </x:c>
      <x:c r="E7" s="48" t="n">
        <x:v>3</x:v>
      </x:c>
      <x:c r="F7" s="48" t="str">
        <x:v>Manhattan</x:v>
      </x:c>
      <x:c r="G7" s="48" t="str">
        <x:v>Manhattan</x:v>
      </x:c>
      <x:c r="H7" s="48" t="str">
        <x:v>Manhattan</x:v>
      </x:c>
      <x:c r="I7" s="49" t="n">
        <x:v>7.4</x:v>
      </x:c>
      <x:c r="J7" s="49" t="n">
        <x:v>9</x:v>
      </x:c>
      <x:c r="K7" s="49" t="n">
        <x:v>7.5</x:v>
      </x:c>
    </x:row>
    <x:row r="8">
      <x:c r="A8" s="48" t="n">
        <x:v>2025</x:v>
      </x:c>
      <x:c r="B8" s="48" t="str">
        <x:v>Borough</x:v>
      </x:c>
      <x:c r="C8" s="48" t="n">
        <x:v>4</x:v>
      </x:c>
      <x:c r="D8" s="48" t="n">
        <x:v>1</x:v>
      </x:c>
      <x:c r="E8" s="48" t="n">
        <x:v>4</x:v>
      </x:c>
      <x:c r="F8" s="48" t="str">
        <x:v>Queens</x:v>
      </x:c>
      <x:c r="G8" s="48" t="str">
        <x:v>Queens</x:v>
      </x:c>
      <x:c r="H8" s="48" t="str">
        <x:v>Queens</x:v>
      </x:c>
      <x:c r="I8" s="49" t="n">
        <x:v>6.3</x:v>
      </x:c>
      <x:c r="J8" s="49" t="n">
        <x:v>8</x:v>
      </x:c>
      <x:c r="K8" s="49" t="n">
        <x:v>6.3</x:v>
      </x:c>
    </x:row>
    <x:row r="9">
      <x:c r="A9" s="48" t="n">
        <x:v>2025</x:v>
      </x:c>
      <x:c r="B9" s="48" t="str">
        <x:v>Borough</x:v>
      </x:c>
      <x:c r="C9" s="48" t="n">
        <x:v>5</x:v>
      </x:c>
      <x:c r="D9" s="48" t="n">
        <x:v>1</x:v>
      </x:c>
      <x:c r="E9" s="48" t="n">
        <x:v>5</x:v>
      </x:c>
      <x:c r="F9" s="48" t="str">
        <x:v>Staten Island</x:v>
      </x:c>
      <x:c r="G9" s="48" t="str">
        <x:v>Staten Island</x:v>
      </x:c>
      <x:c r="H9" s="48" t="str">
        <x:v>Staten Island</x:v>
      </x:c>
      <x:c r="I9" s="49" t="n">
        <x:v>5.8</x:v>
      </x:c>
      <x:c r="J9" s="49" t="n">
        <x:v>7.5</x:v>
      </x:c>
      <x:c r="K9" s="49" t="n">
        <x:v>6</x:v>
      </x:c>
    </x:row>
    <x:row r="10">
      <x:c r="A10" s="48" t="n">
        <x:v>2025</x:v>
      </x:c>
      <x:c r="B10" s="48" t="str">
        <x:v>UHF 34</x:v>
      </x:c>
      <x:c r="C10" s="48" t="n">
        <x:v>101</x:v>
      </x:c>
      <x:c r="D10" s="48" t="n">
        <x:v>3</x:v>
      </x:c>
      <x:c r="E10" s="48" t="n">
        <x:v>1</x:v>
      </x:c>
      <x:c r="F10" s="48" t="str">
        <x:v>Bronx</x:v>
      </x:c>
      <x:c r="G10" s="48" t="str">
        <x:v>Kingsbridge - Riverdale</x:v>
      </x:c>
      <x:c r="H10" s="48" t="str">
        <x:v>Kingsbridge - Riverdale  Bronx</x:v>
      </x:c>
      <x:c r="I10" s="49" t="n">
        <x:v>6.4</x:v>
      </x:c>
      <x:c r="J10" s="49" t="n">
        <x:v>8.1</x:v>
      </x:c>
      <x:c r="K10" s="49" t="n">
        <x:v>6.4</x:v>
      </x:c>
    </x:row>
    <x:row r="11">
      <x:c r="A11" s="48" t="n">
        <x:v>2025</x:v>
      </x:c>
      <x:c r="B11" s="48" t="str">
        <x:v>UHF 34</x:v>
      </x:c>
      <x:c r="C11" s="48" t="n">
        <x:v>102</x:v>
      </x:c>
      <x:c r="D11" s="48" t="n">
        <x:v>3</x:v>
      </x:c>
      <x:c r="E11" s="48" t="n">
        <x:v>1</x:v>
      </x:c>
      <x:c r="F11" s="48" t="str">
        <x:v>Bronx</x:v>
      </x:c>
      <x:c r="G11" s="48" t="str">
        <x:v>Northeast Bronx</x:v>
      </x:c>
      <x:c r="H11" s="48" t="str">
        <x:v>Northeast Bronx  Bronx</x:v>
      </x:c>
      <x:c r="I11" s="49" t="n">
        <x:v>6.4</x:v>
      </x:c>
      <x:c r="J11" s="49" t="n">
        <x:v>8.1</x:v>
      </x:c>
      <x:c r="K11" s="49" t="n">
        <x:v>6.3</x:v>
      </x:c>
    </x:row>
    <x:row r="12">
      <x:c r="A12" s="48" t="n">
        <x:v>2025</x:v>
      </x:c>
      <x:c r="B12" s="48" t="str">
        <x:v>UHF 34</x:v>
      </x:c>
      <x:c r="C12" s="48" t="n">
        <x:v>103</x:v>
      </x:c>
      <x:c r="D12" s="48" t="n">
        <x:v>3</x:v>
      </x:c>
      <x:c r="E12" s="48" t="n">
        <x:v>1</x:v>
      </x:c>
      <x:c r="F12" s="48" t="str">
        <x:v>Bronx</x:v>
      </x:c>
      <x:c r="G12" s="48" t="str">
        <x:v>Fordham - Bronx Pk</x:v>
      </x:c>
      <x:c r="H12" s="48" t="str">
        <x:v>Fordham - Bronx Pk  Bronx</x:v>
      </x:c>
      <x:c r="I12" s="49" t="n">
        <x:v>6.5</x:v>
      </x:c>
      <x:c r="J12" s="49" t="n">
        <x:v>8.2</x:v>
      </x:c>
      <x:c r="K12" s="49" t="n">
        <x:v>6.4</x:v>
      </x:c>
    </x:row>
    <x:row r="13">
      <x:c r="A13" s="48" t="n">
        <x:v>2025</x:v>
      </x:c>
      <x:c r="B13" s="48" t="str">
        <x:v>UHF 34</x:v>
      </x:c>
      <x:c r="C13" s="48" t="n">
        <x:v>104</x:v>
      </x:c>
      <x:c r="D13" s="48" t="n">
        <x:v>3</x:v>
      </x:c>
      <x:c r="E13" s="48" t="n">
        <x:v>1</x:v>
      </x:c>
      <x:c r="F13" s="48" t="str">
        <x:v>Bronx</x:v>
      </x:c>
      <x:c r="G13" s="48" t="str">
        <x:v>Pelham - Throgs Neck</x:v>
      </x:c>
      <x:c r="H13" s="48" t="str">
        <x:v>Pelham - Throgs Neck  Bronx</x:v>
      </x:c>
      <x:c r="I13" s="49" t="n">
        <x:v>6.4</x:v>
      </x:c>
      <x:c r="J13" s="49" t="n">
        <x:v>8.1</x:v>
      </x:c>
      <x:c r="K13" s="49" t="n">
        <x:v>6.4</x:v>
      </x:c>
    </x:row>
    <x:row r="14">
      <x:c r="A14" s="48" t="n">
        <x:v>2025</x:v>
      </x:c>
      <x:c r="B14" s="48" t="str">
        <x:v>UHF 34</x:v>
      </x:c>
      <x:c r="C14" s="48" t="n">
        <x:v>105106107</x:v>
      </x:c>
      <x:c r="D14" s="48" t="n">
        <x:v>3</x:v>
      </x:c>
      <x:c r="E14" s="48" t="n">
        <x:v>1</x:v>
      </x:c>
      <x:c r="F14" s="48" t="str">
        <x:v>Bronx</x:v>
      </x:c>
      <x:c r="G14" s="48" t="str">
        <x:v>South Bronx</x:v>
      </x:c>
      <x:c r="H14" s="48" t="str">
        <x:v>South Bronx  Bronx</x:v>
      </x:c>
      <x:c r="I14" s="49" t="n">
        <x:v>6.6</x:v>
      </x:c>
      <x:c r="J14" s="49" t="n">
        <x:v>8.2</x:v>
      </x:c>
      <x:c r="K14" s="49" t="n">
        <x:v>6.7</x:v>
      </x:c>
    </x:row>
    <x:row r="15">
      <x:c r="A15" s="48" t="n">
        <x:v>2025</x:v>
      </x:c>
      <x:c r="B15" s="48" t="str">
        <x:v>UHF 34</x:v>
      </x:c>
      <x:c r="C15" s="48" t="n">
        <x:v>201</x:v>
      </x:c>
      <x:c r="D15" s="48" t="n">
        <x:v>3</x:v>
      </x:c>
      <x:c r="E15" s="48" t="n">
        <x:v>2</x:v>
      </x:c>
      <x:c r="F15" s="48" t="str">
        <x:v>Brooklyn</x:v>
      </x:c>
      <x:c r="G15" s="48" t="str">
        <x:v>Greenpoint</x:v>
      </x:c>
      <x:c r="H15" s="48" t="str">
        <x:v>Greenpoint  Brooklyn</x:v>
      </x:c>
      <x:c r="I15" s="49" t="n">
        <x:v>7.1</x:v>
      </x:c>
      <x:c r="J15" s="49" t="n">
        <x:v>8.6</x:v>
      </x:c>
      <x:c r="K15" s="49" t="n">
        <x:v>7.3</x:v>
      </x:c>
    </x:row>
    <x:row r="16">
      <x:c r="A16" s="48" t="n">
        <x:v>2025</x:v>
      </x:c>
      <x:c r="B16" s="48" t="str">
        <x:v>UHF 34</x:v>
      </x:c>
      <x:c r="C16" s="48" t="n">
        <x:v>202</x:v>
      </x:c>
      <x:c r="D16" s="48" t="n">
        <x:v>3</x:v>
      </x:c>
      <x:c r="E16" s="48" t="n">
        <x:v>2</x:v>
      </x:c>
      <x:c r="F16" s="48" t="str">
        <x:v>Brooklyn</x:v>
      </x:c>
      <x:c r="G16" s="48" t="str">
        <x:v>Downtown - Heights - Slope</x:v>
      </x:c>
      <x:c r="H16" s="48" t="str">
        <x:v>Downtown - Heights - Slope  Brooklyn</x:v>
      </x:c>
      <x:c r="I16" s="49" t="n">
        <x:v>6.7</x:v>
      </x:c>
      <x:c r="J16" s="49" t="n">
        <x:v>8.5</x:v>
      </x:c>
      <x:c r="K16" s="49" t="n">
        <x:v>6.9</x:v>
      </x:c>
    </x:row>
    <x:row r="17">
      <x:c r="A17" s="48" t="n">
        <x:v>2025</x:v>
      </x:c>
      <x:c r="B17" s="48" t="str">
        <x:v>UHF 34</x:v>
      </x:c>
      <x:c r="C17" s="48" t="n">
        <x:v>203</x:v>
      </x:c>
      <x:c r="D17" s="48" t="n">
        <x:v>3</x:v>
      </x:c>
      <x:c r="E17" s="48" t="n">
        <x:v>2</x:v>
      </x:c>
      <x:c r="F17" s="48" t="str">
        <x:v>Brooklyn</x:v>
      </x:c>
      <x:c r="G17" s="48" t="str">
        <x:v>Bedford Stuyvesant - Crown Heights</x:v>
      </x:c>
      <x:c r="H17" s="48" t="str">
        <x:v>Bedford Stuyvesant - Crown Heights  Brooklyn</x:v>
      </x:c>
      <x:c r="I17" s="49" t="n">
        <x:v>6.3</x:v>
      </x:c>
      <x:c r="J17" s="49" t="n">
        <x:v>8.2</x:v>
      </x:c>
      <x:c r="K17" s="49" t="n">
        <x:v>6.4</x:v>
      </x:c>
    </x:row>
    <x:row r="18">
      <x:c r="A18" s="48" t="n">
        <x:v>2025</x:v>
      </x:c>
      <x:c r="B18" s="48" t="str">
        <x:v>UHF 34</x:v>
      </x:c>
      <x:c r="C18" s="48" t="n">
        <x:v>204</x:v>
      </x:c>
      <x:c r="D18" s="48" t="n">
        <x:v>3</x:v>
      </x:c>
      <x:c r="E18" s="48" t="n">
        <x:v>2</x:v>
      </x:c>
      <x:c r="F18" s="48" t="str">
        <x:v>Brooklyn</x:v>
      </x:c>
      <x:c r="G18" s="48" t="str">
        <x:v>East New York</x:v>
      </x:c>
      <x:c r="H18" s="48" t="str">
        <x:v>East New York  Brooklyn</x:v>
      </x:c>
      <x:c r="I18" s="49" t="n">
        <x:v>6.2</x:v>
      </x:c>
      <x:c r="J18" s="49" t="n">
        <x:v>8</x:v>
      </x:c>
      <x:c r="K18" s="49" t="n">
        <x:v>6.3</x:v>
      </x:c>
    </x:row>
    <x:row r="19">
      <x:c r="A19" s="48" t="n">
        <x:v>2025</x:v>
      </x:c>
      <x:c r="B19" s="48" t="str">
        <x:v>UHF 34</x:v>
      </x:c>
      <x:c r="C19" s="48" t="n">
        <x:v>205</x:v>
      </x:c>
      <x:c r="D19" s="48" t="n">
        <x:v>3</x:v>
      </x:c>
      <x:c r="E19" s="48" t="n">
        <x:v>2</x:v>
      </x:c>
      <x:c r="F19" s="48" t="str">
        <x:v>Brooklyn</x:v>
      </x:c>
      <x:c r="G19" s="48" t="str">
        <x:v>Sunset Park</x:v>
      </x:c>
      <x:c r="H19" s="48" t="str">
        <x:v>Sunset Park  Brooklyn</x:v>
      </x:c>
      <x:c r="I19" s="49" t="n">
        <x:v>6.8</x:v>
      </x:c>
      <x:c r="J19" s="49" t="n">
        <x:v>8.4</x:v>
      </x:c>
      <x:c r="K19" s="49" t="n">
        <x:v>7.1</x:v>
      </x:c>
    </x:row>
    <x:row r="20">
      <x:c r="A20" s="48" t="n">
        <x:v>2025</x:v>
      </x:c>
      <x:c r="B20" s="48" t="str">
        <x:v>UHF 34</x:v>
      </x:c>
      <x:c r="C20" s="48" t="n">
        <x:v>206</x:v>
      </x:c>
      <x:c r="D20" s="48" t="n">
        <x:v>3</x:v>
      </x:c>
      <x:c r="E20" s="48" t="n">
        <x:v>2</x:v>
      </x:c>
      <x:c r="F20" s="48" t="str">
        <x:v>Brooklyn</x:v>
      </x:c>
      <x:c r="G20" s="48" t="str">
        <x:v>Borough Park</x:v>
      </x:c>
      <x:c r="H20" s="48" t="str">
        <x:v>Borough Park  Brooklyn</x:v>
      </x:c>
      <x:c r="I20" s="49" t="n">
        <x:v>6.1</x:v>
      </x:c>
      <x:c r="J20" s="49" t="n">
        <x:v>8</x:v>
      </x:c>
      <x:c r="K20" s="49" t="n">
        <x:v>6.2</x:v>
      </x:c>
    </x:row>
    <x:row r="21">
      <x:c r="A21" s="48" t="n">
        <x:v>2025</x:v>
      </x:c>
      <x:c r="B21" s="48" t="str">
        <x:v>UHF 34</x:v>
      </x:c>
      <x:c r="C21" s="48" t="n">
        <x:v>207</x:v>
      </x:c>
      <x:c r="D21" s="48" t="n">
        <x:v>3</x:v>
      </x:c>
      <x:c r="E21" s="48" t="n">
        <x:v>2</x:v>
      </x:c>
      <x:c r="F21" s="48" t="str">
        <x:v>Brooklyn</x:v>
      </x:c>
      <x:c r="G21" s="48" t="str">
        <x:v>East Flatbush - Flatbush</x:v>
      </x:c>
      <x:c r="H21" s="48" t="str">
        <x:v>East Flatbush - Flatbush  Brooklyn</x:v>
      </x:c>
      <x:c r="I21" s="49" t="n">
        <x:v>6.1</x:v>
      </x:c>
      <x:c r="J21" s="49" t="n">
        <x:v>8</x:v>
      </x:c>
      <x:c r="K21" s="49" t="n">
        <x:v>6.2</x:v>
      </x:c>
    </x:row>
    <x:row r="22">
      <x:c r="A22" s="48" t="n">
        <x:v>2025</x:v>
      </x:c>
      <x:c r="B22" s="48" t="str">
        <x:v>UHF 34</x:v>
      </x:c>
      <x:c r="C22" s="48" t="n">
        <x:v>208</x:v>
      </x:c>
      <x:c r="D22" s="48" t="n">
        <x:v>3</x:v>
      </x:c>
      <x:c r="E22" s="48" t="n">
        <x:v>2</x:v>
      </x:c>
      <x:c r="F22" s="48" t="str">
        <x:v>Brooklyn</x:v>
      </x:c>
      <x:c r="G22" s="48" t="str">
        <x:v>Canarsie - Flatlands</x:v>
      </x:c>
      <x:c r="H22" s="48" t="str">
        <x:v>Canarsie - Flatlands  Brooklyn</x:v>
      </x:c>
      <x:c r="I22" s="49" t="n">
        <x:v>6</x:v>
      </x:c>
      <x:c r="J22" s="49" t="n">
        <x:v>7.8</x:v>
      </x:c>
      <x:c r="K22" s="49" t="n">
        <x:v>6</x:v>
      </x:c>
    </x:row>
    <x:row r="23">
      <x:c r="A23" s="48" t="n">
        <x:v>2025</x:v>
      </x:c>
      <x:c r="B23" s="48" t="str">
        <x:v>UHF 34</x:v>
      </x:c>
      <x:c r="C23" s="48" t="n">
        <x:v>209</x:v>
      </x:c>
      <x:c r="D23" s="48" t="n">
        <x:v>3</x:v>
      </x:c>
      <x:c r="E23" s="48" t="n">
        <x:v>2</x:v>
      </x:c>
      <x:c r="F23" s="48" t="str">
        <x:v>Brooklyn</x:v>
      </x:c>
      <x:c r="G23" s="48" t="str">
        <x:v>Bensonhurst - Bay Ridge</x:v>
      </x:c>
      <x:c r="H23" s="48" t="str">
        <x:v>Bensonhurst - Bay Ridge  Brooklyn</x:v>
      </x:c>
      <x:c r="I23" s="49" t="n">
        <x:v>6.1</x:v>
      </x:c>
      <x:c r="J23" s="49" t="n">
        <x:v>7.9</x:v>
      </x:c>
      <x:c r="K23" s="49" t="n">
        <x:v>6.2</x:v>
      </x:c>
    </x:row>
    <x:row r="24">
      <x:c r="A24" s="48" t="n">
        <x:v>2025</x:v>
      </x:c>
      <x:c r="B24" s="48" t="str">
        <x:v>UHF 34</x:v>
      </x:c>
      <x:c r="C24" s="48" t="n">
        <x:v>210</x:v>
      </x:c>
      <x:c r="D24" s="48" t="n">
        <x:v>3</x:v>
      </x:c>
      <x:c r="E24" s="48" t="n">
        <x:v>2</x:v>
      </x:c>
      <x:c r="F24" s="48" t="str">
        <x:v>Brooklyn</x:v>
      </x:c>
      <x:c r="G24" s="48" t="str">
        <x:v>Coney Island - Sheepshead Bay</x:v>
      </x:c>
      <x:c r="H24" s="48" t="str">
        <x:v>Coney Island - Sheepshead Bay  Brooklyn</x:v>
      </x:c>
      <x:c r="I24" s="49" t="n">
        <x:v>6</x:v>
      </x:c>
      <x:c r="J24" s="49" t="n">
        <x:v>7.9</x:v>
      </x:c>
      <x:c r="K24" s="49" t="n">
        <x:v>6</x:v>
      </x:c>
    </x:row>
    <x:row r="25">
      <x:c r="A25" s="48" t="n">
        <x:v>2025</x:v>
      </x:c>
      <x:c r="B25" s="48" t="str">
        <x:v>UHF 34</x:v>
      </x:c>
      <x:c r="C25" s="48" t="n">
        <x:v>211</x:v>
      </x:c>
      <x:c r="D25" s="48" t="n">
        <x:v>3</x:v>
      </x:c>
      <x:c r="E25" s="48" t="n">
        <x:v>2</x:v>
      </x:c>
      <x:c r="F25" s="48" t="str">
        <x:v>Brooklyn</x:v>
      </x:c>
      <x:c r="G25" s="48" t="str">
        <x:v>Williamsburg - Bushwick</x:v>
      </x:c>
      <x:c r="H25" s="48" t="str">
        <x:v>Williamsburg - Bushwick  Brooklyn</x:v>
      </x:c>
      <x:c r="I25" s="49" t="n">
        <x:v>7</x:v>
      </x:c>
      <x:c r="J25" s="49" t="n">
        <x:v>8.6</x:v>
      </x:c>
      <x:c r="K25" s="49" t="n">
        <x:v>7.2</x:v>
      </x:c>
    </x:row>
    <x:row r="26">
      <x:c r="A26" s="48" t="n">
        <x:v>2025</x:v>
      </x:c>
      <x:c r="B26" s="48" t="str">
        <x:v>UHF 34</x:v>
      </x:c>
      <x:c r="C26" s="48" t="n">
        <x:v>301</x:v>
      </x:c>
      <x:c r="D26" s="48" t="n">
        <x:v>3</x:v>
      </x:c>
      <x:c r="E26" s="48" t="n">
        <x:v>3</x:v>
      </x:c>
      <x:c r="F26" s="48" t="str">
        <x:v>Manhattan</x:v>
      </x:c>
      <x:c r="G26" s="48" t="str">
        <x:v>Washington Heights</x:v>
      </x:c>
      <x:c r="H26" s="48" t="str">
        <x:v>Washington Heights  Manhattan</x:v>
      </x:c>
      <x:c r="I26" s="49" t="n">
        <x:v>6.6</x:v>
      </x:c>
      <x:c r="J26" s="49" t="n">
        <x:v>8.3</x:v>
      </x:c>
      <x:c r="K26" s="49" t="n">
        <x:v>6.6</x:v>
      </x:c>
    </x:row>
    <x:row r="27">
      <x:c r="A27" s="48" t="n">
        <x:v>2025</x:v>
      </x:c>
      <x:c r="B27" s="48" t="str">
        <x:v>UHF 34</x:v>
      </x:c>
      <x:c r="C27" s="48" t="n">
        <x:v>302</x:v>
      </x:c>
      <x:c r="D27" s="48" t="n">
        <x:v>3</x:v>
      </x:c>
      <x:c r="E27" s="48" t="n">
        <x:v>3</x:v>
      </x:c>
      <x:c r="F27" s="48" t="str">
        <x:v>Manhattan</x:v>
      </x:c>
      <x:c r="G27" s="48" t="str">
        <x:v>Central Harlem - Morningside Heights</x:v>
      </x:c>
      <x:c r="H27" s="48" t="str">
        <x:v>Central Harlem - Morningside Heights  Manhattan</x:v>
      </x:c>
      <x:c r="I27" s="49" t="n">
        <x:v>6.6</x:v>
      </x:c>
      <x:c r="J27" s="49" t="n">
        <x:v>8.3</x:v>
      </x:c>
      <x:c r="K27" s="49" t="n">
        <x:v>6.7</x:v>
      </x:c>
    </x:row>
    <x:row r="28">
      <x:c r="A28" s="48" t="n">
        <x:v>2025</x:v>
      </x:c>
      <x:c r="B28" s="48" t="str">
        <x:v>UHF 34</x:v>
      </x:c>
      <x:c r="C28" s="48" t="n">
        <x:v>303</x:v>
      </x:c>
      <x:c r="D28" s="48" t="n">
        <x:v>3</x:v>
      </x:c>
      <x:c r="E28" s="48" t="n">
        <x:v>3</x:v>
      </x:c>
      <x:c r="F28" s="48" t="str">
        <x:v>Manhattan</x:v>
      </x:c>
      <x:c r="G28" s="48" t="str">
        <x:v>East Harlem</x:v>
      </x:c>
      <x:c r="H28" s="48" t="str">
        <x:v>East Harlem  Manhattan</x:v>
      </x:c>
      <x:c r="I28" s="49" t="n">
        <x:v>6.5</x:v>
      </x:c>
      <x:c r="J28" s="49" t="n">
        <x:v>8.2</x:v>
      </x:c>
      <x:c r="K28" s="49" t="n">
        <x:v>6.6</x:v>
      </x:c>
    </x:row>
    <x:row r="29">
      <x:c r="A29" s="48" t="n">
        <x:v>2025</x:v>
      </x:c>
      <x:c r="B29" s="48" t="str">
        <x:v>UHF 34</x:v>
      </x:c>
      <x:c r="C29" s="48" t="n">
        <x:v>304</x:v>
      </x:c>
      <x:c r="D29" s="48" t="n">
        <x:v>3</x:v>
      </x:c>
      <x:c r="E29" s="48" t="n">
        <x:v>3</x:v>
      </x:c>
      <x:c r="F29" s="48" t="str">
        <x:v>Manhattan</x:v>
      </x:c>
      <x:c r="G29" s="48" t="str">
        <x:v>Upper West Side</x:v>
      </x:c>
      <x:c r="H29" s="48" t="str">
        <x:v>Upper West Side  Manhattan</x:v>
      </x:c>
      <x:c r="I29" s="49" t="n">
        <x:v>6.5</x:v>
      </x:c>
      <x:c r="J29" s="49" t="n">
        <x:v>8.3</x:v>
      </x:c>
      <x:c r="K29" s="49" t="n">
        <x:v>6.6</x:v>
      </x:c>
    </x:row>
    <x:row r="30">
      <x:c r="A30" s="48" t="n">
        <x:v>2025</x:v>
      </x:c>
      <x:c r="B30" s="48" t="str">
        <x:v>UHF 34</x:v>
      </x:c>
      <x:c r="C30" s="48" t="n">
        <x:v>305307</x:v>
      </x:c>
      <x:c r="D30" s="48" t="n">
        <x:v>3</x:v>
      </x:c>
      <x:c r="E30" s="48" t="n">
        <x:v>3</x:v>
      </x:c>
      <x:c r="F30" s="48" t="str">
        <x:v>Manhattan</x:v>
      </x:c>
      <x:c r="G30" s="48" t="str">
        <x:v>Upper East Side-Gramercy</x:v>
      </x:c>
      <x:c r="H30" s="48" t="str">
        <x:v>Upper East Side-Gramercy  Manhattan</x:v>
      </x:c>
      <x:c r="I30" s="49" t="n">
        <x:v>7.5</x:v>
      </x:c>
      <x:c r="J30" s="49" t="n">
        <x:v>9.2</x:v>
      </x:c>
      <x:c r="K30" s="49" t="n">
        <x:v>7.8</x:v>
      </x:c>
    </x:row>
    <x:row r="31">
      <x:c r="A31" s="48" t="n">
        <x:v>2025</x:v>
      </x:c>
      <x:c r="B31" s="48" t="str">
        <x:v>UHF 34</x:v>
      </x:c>
      <x:c r="C31" s="48" t="n">
        <x:v>306308</x:v>
      </x:c>
      <x:c r="D31" s="48" t="n">
        <x:v>3</x:v>
      </x:c>
      <x:c r="E31" s="48" t="n">
        <x:v>3</x:v>
      </x:c>
      <x:c r="F31" s="48" t="str">
        <x:v>Manhattan</x:v>
      </x:c>
      <x:c r="G31" s="48" t="str">
        <x:v>Chelsea-Village</x:v>
      </x:c>
      <x:c r="H31" s="48" t="str">
        <x:v>Chelsea-Village  Manhattan</x:v>
      </x:c>
      <x:c r="I31" s="49" t="n">
        <x:v>8.6</x:v>
      </x:c>
      <x:c r="J31" s="49" t="n">
        <x:v>10.1</x:v>
      </x:c>
      <x:c r="K31" s="49" t="n">
        <x:v>9.1</x:v>
      </x:c>
    </x:row>
    <x:row r="32">
      <x:c r="A32" s="48" t="n">
        <x:v>2025</x:v>
      </x:c>
      <x:c r="B32" s="48" t="str">
        <x:v>UHF 34</x:v>
      </x:c>
      <x:c r="C32" s="48" t="n">
        <x:v>309310</x:v>
      </x:c>
      <x:c r="D32" s="48" t="n">
        <x:v>3</x:v>
      </x:c>
      <x:c r="E32" s="48" t="n">
        <x:v>3</x:v>
      </x:c>
      <x:c r="F32" s="48" t="str">
        <x:v>Manhattan</x:v>
      </x:c>
      <x:c r="G32" s="48" t="str">
        <x:v>Union Square-Lower Manhattan</x:v>
      </x:c>
      <x:c r="H32" s="48" t="str">
        <x:v>Union Square-Lower Manhattan  Manhattan</x:v>
      </x:c>
      <x:c r="I32" s="49" t="n">
        <x:v>7.8</x:v>
      </x:c>
      <x:c r="J32" s="49" t="n">
        <x:v>9.4</x:v>
      </x:c>
      <x:c r="K32" s="49" t="n">
        <x:v>8.1</x:v>
      </x:c>
    </x:row>
    <x:row r="33">
      <x:c r="A33" s="48" t="n">
        <x:v>2025</x:v>
      </x:c>
      <x:c r="B33" s="48" t="str">
        <x:v>UHF 34</x:v>
      </x:c>
      <x:c r="C33" s="48" t="n">
        <x:v>401</x:v>
      </x:c>
      <x:c r="D33" s="48" t="n">
        <x:v>3</x:v>
      </x:c>
      <x:c r="E33" s="48" t="n">
        <x:v>4</x:v>
      </x:c>
      <x:c r="F33" s="48" t="str">
        <x:v>Queens</x:v>
      </x:c>
      <x:c r="G33" s="48" t="str">
        <x:v>Long Island City - Astoria</x:v>
      </x:c>
      <x:c r="H33" s="48" t="str">
        <x:v>Long Island City - Astoria  Queens</x:v>
      </x:c>
      <x:c r="I33" s="49" t="n">
        <x:v>7</x:v>
      </x:c>
      <x:c r="J33" s="49" t="n">
        <x:v>8.5</x:v>
      </x:c>
      <x:c r="K33" s="49" t="n">
        <x:v>7.2</x:v>
      </x:c>
    </x:row>
    <x:row r="34">
      <x:c r="A34" s="48" t="n">
        <x:v>2025</x:v>
      </x:c>
      <x:c r="B34" s="48" t="str">
        <x:v>UHF 34</x:v>
      </x:c>
      <x:c r="C34" s="48" t="n">
        <x:v>402</x:v>
      </x:c>
      <x:c r="D34" s="48" t="n">
        <x:v>3</x:v>
      </x:c>
      <x:c r="E34" s="48" t="n">
        <x:v>4</x:v>
      </x:c>
      <x:c r="F34" s="48" t="str">
        <x:v>Queens</x:v>
      </x:c>
      <x:c r="G34" s="48" t="str">
        <x:v>West Queens</x:v>
      </x:c>
      <x:c r="H34" s="48" t="str">
        <x:v>West Queens  Queens</x:v>
      </x:c>
      <x:c r="I34" s="49" t="n">
        <x:v>6.9</x:v>
      </x:c>
      <x:c r="J34" s="49" t="n">
        <x:v>8.4</x:v>
      </x:c>
      <x:c r="K34" s="49" t="n">
        <x:v>7.2</x:v>
      </x:c>
    </x:row>
    <x:row r="35">
      <x:c r="A35" s="48" t="n">
        <x:v>2025</x:v>
      </x:c>
      <x:c r="B35" s="48" t="str">
        <x:v>UHF 34</x:v>
      </x:c>
      <x:c r="C35" s="48" t="n">
        <x:v>403</x:v>
      </x:c>
      <x:c r="D35" s="48" t="n">
        <x:v>3</x:v>
      </x:c>
      <x:c r="E35" s="48" t="n">
        <x:v>4</x:v>
      </x:c>
      <x:c r="F35" s="48" t="str">
        <x:v>Queens</x:v>
      </x:c>
      <x:c r="G35" s="48" t="str">
        <x:v>Flushing - Clearview</x:v>
      </x:c>
      <x:c r="H35" s="48" t="str">
        <x:v>Flushing - Clearview  Queens</x:v>
      </x:c>
      <x:c r="I35" s="49" t="n">
        <x:v>6.3</x:v>
      </x:c>
      <x:c r="J35" s="49" t="n">
        <x:v>8</x:v>
      </x:c>
      <x:c r="K35" s="49" t="n">
        <x:v>6.3</x:v>
      </x:c>
    </x:row>
    <x:row r="36">
      <x:c r="A36" s="48" t="n">
        <x:v>2025</x:v>
      </x:c>
      <x:c r="B36" s="48" t="str">
        <x:v>UHF 34</x:v>
      </x:c>
      <x:c r="C36" s="48" t="n">
        <x:v>405</x:v>
      </x:c>
      <x:c r="D36" s="48" t="n">
        <x:v>3</x:v>
      </x:c>
      <x:c r="E36" s="48" t="n">
        <x:v>4</x:v>
      </x:c>
      <x:c r="F36" s="48" t="str">
        <x:v>Queens</x:v>
      </x:c>
      <x:c r="G36" s="48" t="str">
        <x:v>Ridgewood - Forest Hills</x:v>
      </x:c>
      <x:c r="H36" s="48" t="str">
        <x:v>Ridgewood - Forest Hills  Queens</x:v>
      </x:c>
      <x:c r="I36" s="49" t="n">
        <x:v>6.3</x:v>
      </x:c>
      <x:c r="J36" s="49" t="n">
        <x:v>8</x:v>
      </x:c>
      <x:c r="K36" s="49" t="n">
        <x:v>6.3</x:v>
      </x:c>
    </x:row>
    <x:row r="37">
      <x:c r="A37" s="48" t="n">
        <x:v>2025</x:v>
      </x:c>
      <x:c r="B37" s="48" t="str">
        <x:v>UHF 34</x:v>
      </x:c>
      <x:c r="C37" s="48" t="n">
        <x:v>407</x:v>
      </x:c>
      <x:c r="D37" s="48" t="n">
        <x:v>3</x:v>
      </x:c>
      <x:c r="E37" s="48" t="n">
        <x:v>4</x:v>
      </x:c>
      <x:c r="F37" s="48" t="str">
        <x:v>Queens</x:v>
      </x:c>
      <x:c r="G37" s="48" t="str">
        <x:v>Southwest Queens</x:v>
      </x:c>
      <x:c r="H37" s="48" t="str">
        <x:v>Southwest Queens  Queens</x:v>
      </x:c>
      <x:c r="I37" s="49" t="n">
        <x:v>6.1</x:v>
      </x:c>
      <x:c r="J37" s="49" t="n">
        <x:v>7.9</x:v>
      </x:c>
      <x:c r="K37" s="49" t="n">
        <x:v>6.1</x:v>
      </x:c>
    </x:row>
    <x:row r="38">
      <x:c r="A38" s="48" t="n">
        <x:v>2025</x:v>
      </x:c>
      <x:c r="B38" s="48" t="str">
        <x:v>UHF 34</x:v>
      </x:c>
      <x:c r="C38" s="48" t="n">
        <x:v>408</x:v>
      </x:c>
      <x:c r="D38" s="48" t="n">
        <x:v>3</x:v>
      </x:c>
      <x:c r="E38" s="48" t="n">
        <x:v>4</x:v>
      </x:c>
      <x:c r="F38" s="48" t="str">
        <x:v>Queens</x:v>
      </x:c>
      <x:c r="G38" s="48" t="str">
        <x:v>Jamaica</x:v>
      </x:c>
      <x:c r="H38" s="48" t="str">
        <x:v>Jamaica  Queens</x:v>
      </x:c>
      <x:c r="I38" s="49" t="n">
        <x:v>6.2</x:v>
      </x:c>
      <x:c r="J38" s="49" t="n">
        <x:v>7.9</x:v>
      </x:c>
      <x:c r="K38" s="49" t="n">
        <x:v>6.2</x:v>
      </x:c>
    </x:row>
    <x:row r="39">
      <x:c r="A39" s="48" t="n">
        <x:v>2025</x:v>
      </x:c>
      <x:c r="B39" s="48" t="str">
        <x:v>UHF 34</x:v>
      </x:c>
      <x:c r="C39" s="48" t="n">
        <x:v>409</x:v>
      </x:c>
      <x:c r="D39" s="48" t="n">
        <x:v>3</x:v>
      </x:c>
      <x:c r="E39" s="48" t="n">
        <x:v>4</x:v>
      </x:c>
      <x:c r="F39" s="48" t="str">
        <x:v>Queens</x:v>
      </x:c>
      <x:c r="G39" s="48" t="str">
        <x:v>Southeast Queens</x:v>
      </x:c>
      <x:c r="H39" s="48" t="str">
        <x:v>Southeast Queens  Queens</x:v>
      </x:c>
      <x:c r="I39" s="49" t="n">
        <x:v>6</x:v>
      </x:c>
      <x:c r="J39" s="49" t="n">
        <x:v>7.8</x:v>
      </x:c>
      <x:c r="K39" s="49" t="n">
        <x:v>5.9</x:v>
      </x:c>
    </x:row>
    <x:row r="40">
      <x:c r="A40" s="48" t="n">
        <x:v>2025</x:v>
      </x:c>
      <x:c r="B40" s="48" t="str">
        <x:v>UHF 34</x:v>
      </x:c>
      <x:c r="C40" s="48" t="n">
        <x:v>410</x:v>
      </x:c>
      <x:c r="D40" s="48" t="n">
        <x:v>3</x:v>
      </x:c>
      <x:c r="E40" s="48" t="n">
        <x:v>4</x:v>
      </x:c>
      <x:c r="F40" s="48" t="str">
        <x:v>Queens</x:v>
      </x:c>
      <x:c r="G40" s="48" t="str">
        <x:v>Rockaways</x:v>
      </x:c>
      <x:c r="H40" s="48" t="str">
        <x:v>Rockaways  Queens</x:v>
      </x:c>
      <x:c r="I40" s="49" t="n">
        <x:v>5.8</x:v>
      </x:c>
      <x:c r="J40" s="49" t="n">
        <x:v>7.7</x:v>
      </x:c>
      <x:c r="K40" s="49" t="n">
        <x:v>5.7</x:v>
      </x:c>
    </x:row>
    <x:row r="41">
      <x:c r="A41" s="48" t="n">
        <x:v>2025</x:v>
      </x:c>
      <x:c r="B41" s="48" t="str">
        <x:v>UHF 34</x:v>
      </x:c>
      <x:c r="C41" s="48" t="n">
        <x:v>404406</x:v>
      </x:c>
      <x:c r="D41" s="48" t="n">
        <x:v>3</x:v>
      </x:c>
      <x:c r="E41" s="48" t="n">
        <x:v>4</x:v>
      </x:c>
      <x:c r="F41" s="48" t="str">
        <x:v>Queens</x:v>
      </x:c>
      <x:c r="G41" s="48" t="str">
        <x:v>Bayside Little Neck-Fresh Meadows</x:v>
      </x:c>
      <x:c r="H41" s="48" t="str">
        <x:v>Bayside Little Neck-Fresh Meadows  Queens</x:v>
      </x:c>
      <x:c r="I41" s="49" t="n">
        <x:v>6.1</x:v>
      </x:c>
      <x:c r="J41" s="49" t="n">
        <x:v>7.8</x:v>
      </x:c>
      <x:c r="K41" s="49" t="n">
        <x:v>6</x:v>
      </x:c>
    </x:row>
    <x:row r="42">
      <x:c r="A42" s="48" t="n">
        <x:v>2025</x:v>
      </x:c>
      <x:c r="B42" s="48" t="str">
        <x:v>UHF 34</x:v>
      </x:c>
      <x:c r="C42" s="48" t="n">
        <x:v>501502</x:v>
      </x:c>
      <x:c r="D42" s="48" t="n">
        <x:v>3</x:v>
      </x:c>
      <x:c r="E42" s="48" t="n">
        <x:v>5</x:v>
      </x:c>
      <x:c r="F42" s="48" t="str">
        <x:v>Staten Island</x:v>
      </x:c>
      <x:c r="G42" s="48" t="str">
        <x:v>Northern SI</x:v>
      </x:c>
      <x:c r="H42" s="48" t="str">
        <x:v>Northern SI  Staten Island</x:v>
      </x:c>
      <x:c r="I42" s="49" t="n">
        <x:v>5.9</x:v>
      </x:c>
      <x:c r="J42" s="49" t="n">
        <x:v>7.7</x:v>
      </x:c>
      <x:c r="K42" s="49" t="n">
        <x:v>6.1</x:v>
      </x:c>
    </x:row>
    <x:row r="43">
      <x:c r="A43" s="48" t="n">
        <x:v>2025</x:v>
      </x:c>
      <x:c r="B43" s="48" t="str">
        <x:v>UHF 34</x:v>
      </x:c>
      <x:c r="C43" s="48" t="n">
        <x:v>503504</x:v>
      </x:c>
      <x:c r="D43" s="48" t="n">
        <x:v>3</x:v>
      </x:c>
      <x:c r="E43" s="48" t="n">
        <x:v>5</x:v>
      </x:c>
      <x:c r="F43" s="48" t="str">
        <x:v>Staten Island</x:v>
      </x:c>
      <x:c r="G43" s="48" t="str">
        <x:v>Southern SI</x:v>
      </x:c>
      <x:c r="H43" s="48" t="str">
        <x:v>Southern SI  Staten Island</x:v>
      </x:c>
      <x:c r="I43" s="49" t="n">
        <x:v>5.8</x:v>
      </x:c>
      <x:c r="J43" s="49" t="n">
        <x:v>7.4</x:v>
      </x:c>
      <x:c r="K43" s="49" t="n">
        <x:v>6</x:v>
      </x:c>
    </x:row>
    <x:row r="44">
      <x:c r="A44" s="48" t="n">
        <x:v>2025</x:v>
      </x:c>
      <x:c r="B44" s="48" t="str">
        <x:v>UHF 42</x:v>
      </x:c>
      <x:c r="C44" s="48" t="n">
        <x:v>101</x:v>
      </x:c>
      <x:c r="D44" s="48" t="n">
        <x:v>4</x:v>
      </x:c>
      <x:c r="E44" s="48" t="n">
        <x:v>1</x:v>
      </x:c>
      <x:c r="F44" s="48" t="str">
        <x:v>Bronx</x:v>
      </x:c>
      <x:c r="G44" s="48" t="str">
        <x:v>Kingsbridge - Riverdale</x:v>
      </x:c>
      <x:c r="H44" s="48" t="str">
        <x:v>Kingsbridge - Riverdale  Bronx</x:v>
      </x:c>
      <x:c r="I44" s="49" t="n">
        <x:v>6.4</x:v>
      </x:c>
      <x:c r="J44" s="49" t="n">
        <x:v>8.1</x:v>
      </x:c>
      <x:c r="K44" s="49" t="n">
        <x:v>6.4</x:v>
      </x:c>
    </x:row>
    <x:row r="45">
      <x:c r="A45" s="48" t="n">
        <x:v>2025</x:v>
      </x:c>
      <x:c r="B45" s="48" t="str">
        <x:v>UHF 42</x:v>
      </x:c>
      <x:c r="C45" s="48" t="n">
        <x:v>102</x:v>
      </x:c>
      <x:c r="D45" s="48" t="n">
        <x:v>4</x:v>
      </x:c>
      <x:c r="E45" s="48" t="n">
        <x:v>1</x:v>
      </x:c>
      <x:c r="F45" s="48" t="str">
        <x:v>Bronx</x:v>
      </x:c>
      <x:c r="G45" s="48" t="str">
        <x:v>Northeast Bronx</x:v>
      </x:c>
      <x:c r="H45" s="48" t="str">
        <x:v>Northeast Bronx  Bronx</x:v>
      </x:c>
      <x:c r="I45" s="49" t="n">
        <x:v>6.4</x:v>
      </x:c>
      <x:c r="J45" s="49" t="n">
        <x:v>8.1</x:v>
      </x:c>
      <x:c r="K45" s="49" t="n">
        <x:v>6.3</x:v>
      </x:c>
    </x:row>
    <x:row r="46">
      <x:c r="A46" s="48" t="n">
        <x:v>2025</x:v>
      </x:c>
      <x:c r="B46" s="48" t="str">
        <x:v>UHF 42</x:v>
      </x:c>
      <x:c r="C46" s="48" t="n">
        <x:v>103</x:v>
      </x:c>
      <x:c r="D46" s="48" t="n">
        <x:v>4</x:v>
      </x:c>
      <x:c r="E46" s="48" t="n">
        <x:v>1</x:v>
      </x:c>
      <x:c r="F46" s="48" t="str">
        <x:v>Bronx</x:v>
      </x:c>
      <x:c r="G46" s="48" t="str">
        <x:v>Fordham - Bronx Pk</x:v>
      </x:c>
      <x:c r="H46" s="48" t="str">
        <x:v>Fordham - Bronx Pk  Bronx</x:v>
      </x:c>
      <x:c r="I46" s="49" t="n">
        <x:v>6.5</x:v>
      </x:c>
      <x:c r="J46" s="49" t="n">
        <x:v>8.2</x:v>
      </x:c>
      <x:c r="K46" s="49" t="n">
        <x:v>6.4</x:v>
      </x:c>
    </x:row>
    <x:row r="47">
      <x:c r="A47" s="48" t="n">
        <x:v>2025</x:v>
      </x:c>
      <x:c r="B47" s="48" t="str">
        <x:v>UHF 42</x:v>
      </x:c>
      <x:c r="C47" s="48" t="n">
        <x:v>104</x:v>
      </x:c>
      <x:c r="D47" s="48" t="n">
        <x:v>4</x:v>
      </x:c>
      <x:c r="E47" s="48" t="n">
        <x:v>1</x:v>
      </x:c>
      <x:c r="F47" s="48" t="str">
        <x:v>Bronx</x:v>
      </x:c>
      <x:c r="G47" s="48" t="str">
        <x:v>Pelham - Throgs Neck</x:v>
      </x:c>
      <x:c r="H47" s="48" t="str">
        <x:v>Pelham - Throgs Neck  Bronx</x:v>
      </x:c>
      <x:c r="I47" s="49" t="n">
        <x:v>6.4</x:v>
      </x:c>
      <x:c r="J47" s="49" t="n">
        <x:v>8.1</x:v>
      </x:c>
      <x:c r="K47" s="49" t="n">
        <x:v>6.4</x:v>
      </x:c>
    </x:row>
    <x:row r="48">
      <x:c r="A48" s="48" t="n">
        <x:v>2025</x:v>
      </x:c>
      <x:c r="B48" s="48" t="str">
        <x:v>UHF 42</x:v>
      </x:c>
      <x:c r="C48" s="48" t="n">
        <x:v>105</x:v>
      </x:c>
      <x:c r="D48" s="48" t="n">
        <x:v>4</x:v>
      </x:c>
      <x:c r="E48" s="48" t="n">
        <x:v>1</x:v>
      </x:c>
      <x:c r="F48" s="48" t="str">
        <x:v>Bronx</x:v>
      </x:c>
      <x:c r="G48" s="48" t="str">
        <x:v>Crotona - Tremont</x:v>
      </x:c>
      <x:c r="H48" s="48" t="str">
        <x:v>Crotona - Tremont  Bronx</x:v>
      </x:c>
      <x:c r="I48" s="49" t="n">
        <x:v>6.5</x:v>
      </x:c>
      <x:c r="J48" s="49" t="n">
        <x:v>8.2</x:v>
      </x:c>
      <x:c r="K48" s="49" t="n">
        <x:v>6.5</x:v>
      </x:c>
    </x:row>
    <x:row r="49">
      <x:c r="A49" s="48" t="n">
        <x:v>2025</x:v>
      </x:c>
      <x:c r="B49" s="48" t="str">
        <x:v>UHF 42</x:v>
      </x:c>
      <x:c r="C49" s="48" t="n">
        <x:v>106</x:v>
      </x:c>
      <x:c r="D49" s="48" t="n">
        <x:v>4</x:v>
      </x:c>
      <x:c r="E49" s="48" t="n">
        <x:v>1</x:v>
      </x:c>
      <x:c r="F49" s="48" t="str">
        <x:v>Bronx</x:v>
      </x:c>
      <x:c r="G49" s="48" t="str">
        <x:v>High Bridge - Morrisania</x:v>
      </x:c>
      <x:c r="H49" s="48" t="str">
        <x:v>High Bridge - Morrisania  Bronx</x:v>
      </x:c>
      <x:c r="I49" s="49" t="n">
        <x:v>6.4</x:v>
      </x:c>
      <x:c r="J49" s="49" t="n">
        <x:v>8.1</x:v>
      </x:c>
      <x:c r="K49" s="49" t="n">
        <x:v>6.4</x:v>
      </x:c>
    </x:row>
    <x:row r="50">
      <x:c r="A50" s="48" t="n">
        <x:v>2025</x:v>
      </x:c>
      <x:c r="B50" s="48" t="str">
        <x:v>UHF 42</x:v>
      </x:c>
      <x:c r="C50" s="48" t="n">
        <x:v>107</x:v>
      </x:c>
      <x:c r="D50" s="48" t="n">
        <x:v>4</x:v>
      </x:c>
      <x:c r="E50" s="48" t="n">
        <x:v>1</x:v>
      </x:c>
      <x:c r="F50" s="48" t="str">
        <x:v>Bronx</x:v>
      </x:c>
      <x:c r="G50" s="48" t="str">
        <x:v>Hunts Point - Mott Haven</x:v>
      </x:c>
      <x:c r="H50" s="48" t="str">
        <x:v>Hunts Point - Mott Haven  Bronx</x:v>
      </x:c>
      <x:c r="I50" s="49" t="n">
        <x:v>6.8</x:v>
      </x:c>
      <x:c r="J50" s="49" t="n">
        <x:v>8.3</x:v>
      </x:c>
      <x:c r="K50" s="49" t="n">
        <x:v>7</x:v>
      </x:c>
    </x:row>
    <x:row r="51">
      <x:c r="A51" s="48" t="n">
        <x:v>2025</x:v>
      </x:c>
      <x:c r="B51" s="48" t="str">
        <x:v>UHF 42</x:v>
      </x:c>
      <x:c r="C51" s="48" t="n">
        <x:v>201</x:v>
      </x:c>
      <x:c r="D51" s="48" t="n">
        <x:v>4</x:v>
      </x:c>
      <x:c r="E51" s="48" t="n">
        <x:v>2</x:v>
      </x:c>
      <x:c r="F51" s="48" t="str">
        <x:v>Brooklyn</x:v>
      </x:c>
      <x:c r="G51" s="48" t="str">
        <x:v>Greenpoint</x:v>
      </x:c>
      <x:c r="H51" s="48" t="str">
        <x:v>Greenpoint  Brooklyn</x:v>
      </x:c>
      <x:c r="I51" s="49" t="n">
        <x:v>7.1</x:v>
      </x:c>
      <x:c r="J51" s="49" t="n">
        <x:v>8.6</x:v>
      </x:c>
      <x:c r="K51" s="49" t="n">
        <x:v>7.3</x:v>
      </x:c>
    </x:row>
    <x:row r="52">
      <x:c r="A52" s="48" t="n">
        <x:v>2025</x:v>
      </x:c>
      <x:c r="B52" s="48" t="str">
        <x:v>UHF 42</x:v>
      </x:c>
      <x:c r="C52" s="48" t="n">
        <x:v>202</x:v>
      </x:c>
      <x:c r="D52" s="48" t="n">
        <x:v>4</x:v>
      </x:c>
      <x:c r="E52" s="48" t="n">
        <x:v>2</x:v>
      </x:c>
      <x:c r="F52" s="48" t="str">
        <x:v>Brooklyn</x:v>
      </x:c>
      <x:c r="G52" s="48" t="str">
        <x:v>Downtown - Heights - Slope</x:v>
      </x:c>
      <x:c r="H52" s="48" t="str">
        <x:v>Downtown - Heights - Slope  Brooklyn</x:v>
      </x:c>
      <x:c r="I52" s="49" t="n">
        <x:v>6.7</x:v>
      </x:c>
      <x:c r="J52" s="49" t="n">
        <x:v>8.5</x:v>
      </x:c>
      <x:c r="K52" s="49" t="n">
        <x:v>6.9</x:v>
      </x:c>
    </x:row>
    <x:row r="53">
      <x:c r="A53" s="48" t="n">
        <x:v>2025</x:v>
      </x:c>
      <x:c r="B53" s="48" t="str">
        <x:v>UHF 42</x:v>
      </x:c>
      <x:c r="C53" s="48" t="n">
        <x:v>203</x:v>
      </x:c>
      <x:c r="D53" s="48" t="n">
        <x:v>4</x:v>
      </x:c>
      <x:c r="E53" s="48" t="n">
        <x:v>2</x:v>
      </x:c>
      <x:c r="F53" s="48" t="str">
        <x:v>Brooklyn</x:v>
      </x:c>
      <x:c r="G53" s="48" t="str">
        <x:v>Bedford Stuyvesant - Crown Heights</x:v>
      </x:c>
      <x:c r="H53" s="48" t="str">
        <x:v>Bedford Stuyvesant - Crown Heights  Brooklyn</x:v>
      </x:c>
      <x:c r="I53" s="49" t="n">
        <x:v>6.3</x:v>
      </x:c>
      <x:c r="J53" s="49" t="n">
        <x:v>8.2</x:v>
      </x:c>
      <x:c r="K53" s="49" t="n">
        <x:v>6.4</x:v>
      </x:c>
    </x:row>
    <x:row r="54">
      <x:c r="A54" s="48" t="n">
        <x:v>2025</x:v>
      </x:c>
      <x:c r="B54" s="48" t="str">
        <x:v>UHF 42</x:v>
      </x:c>
      <x:c r="C54" s="48" t="n">
        <x:v>204</x:v>
      </x:c>
      <x:c r="D54" s="48" t="n">
        <x:v>4</x:v>
      </x:c>
      <x:c r="E54" s="48" t="n">
        <x:v>2</x:v>
      </x:c>
      <x:c r="F54" s="48" t="str">
        <x:v>Brooklyn</x:v>
      </x:c>
      <x:c r="G54" s="48" t="str">
        <x:v>East New York</x:v>
      </x:c>
      <x:c r="H54" s="48" t="str">
        <x:v>East New York  Brooklyn</x:v>
      </x:c>
      <x:c r="I54" s="49" t="n">
        <x:v>6.2</x:v>
      </x:c>
      <x:c r="J54" s="49" t="n">
        <x:v>8</x:v>
      </x:c>
      <x:c r="K54" s="49" t="n">
        <x:v>6.3</x:v>
      </x:c>
    </x:row>
    <x:row r="55">
      <x:c r="A55" s="48" t="n">
        <x:v>2025</x:v>
      </x:c>
      <x:c r="B55" s="48" t="str">
        <x:v>UHF 42</x:v>
      </x:c>
      <x:c r="C55" s="48" t="n">
        <x:v>205</x:v>
      </x:c>
      <x:c r="D55" s="48" t="n">
        <x:v>4</x:v>
      </x:c>
      <x:c r="E55" s="48" t="n">
        <x:v>2</x:v>
      </x:c>
      <x:c r="F55" s="48" t="str">
        <x:v>Brooklyn</x:v>
      </x:c>
      <x:c r="G55" s="48" t="str">
        <x:v>Sunset Park</x:v>
      </x:c>
      <x:c r="H55" s="48" t="str">
        <x:v>Sunset Park  Brooklyn</x:v>
      </x:c>
      <x:c r="I55" s="49" t="n">
        <x:v>6.8</x:v>
      </x:c>
      <x:c r="J55" s="49" t="n">
        <x:v>8.4</x:v>
      </x:c>
      <x:c r="K55" s="49" t="n">
        <x:v>7.1</x:v>
      </x:c>
    </x:row>
    <x:row r="56">
      <x:c r="A56" s="48" t="n">
        <x:v>2025</x:v>
      </x:c>
      <x:c r="B56" s="48" t="str">
        <x:v>UHF 42</x:v>
      </x:c>
      <x:c r="C56" s="48" t="n">
        <x:v>206</x:v>
      </x:c>
      <x:c r="D56" s="48" t="n">
        <x:v>4</x:v>
      </x:c>
      <x:c r="E56" s="48" t="n">
        <x:v>2</x:v>
      </x:c>
      <x:c r="F56" s="48" t="str">
        <x:v>Brooklyn</x:v>
      </x:c>
      <x:c r="G56" s="48" t="str">
        <x:v>Borough Park</x:v>
      </x:c>
      <x:c r="H56" s="48" t="str">
        <x:v>Borough Park  Brooklyn</x:v>
      </x:c>
      <x:c r="I56" s="49" t="n">
        <x:v>6.1</x:v>
      </x:c>
      <x:c r="J56" s="49" t="n">
        <x:v>8</x:v>
      </x:c>
      <x:c r="K56" s="49" t="n">
        <x:v>6.2</x:v>
      </x:c>
    </x:row>
    <x:row r="57">
      <x:c r="A57" s="48" t="n">
        <x:v>2025</x:v>
      </x:c>
      <x:c r="B57" s="48" t="str">
        <x:v>UHF 42</x:v>
      </x:c>
      <x:c r="C57" s="48" t="n">
        <x:v>207</x:v>
      </x:c>
      <x:c r="D57" s="48" t="n">
        <x:v>4</x:v>
      </x:c>
      <x:c r="E57" s="48" t="n">
        <x:v>2</x:v>
      </x:c>
      <x:c r="F57" s="48" t="str">
        <x:v>Brooklyn</x:v>
      </x:c>
      <x:c r="G57" s="48" t="str">
        <x:v>East Flatbush - Flatbush</x:v>
      </x:c>
      <x:c r="H57" s="48" t="str">
        <x:v>East Flatbush - Flatbush  Brooklyn</x:v>
      </x:c>
      <x:c r="I57" s="49" t="n">
        <x:v>6.1</x:v>
      </x:c>
      <x:c r="J57" s="49" t="n">
        <x:v>8</x:v>
      </x:c>
      <x:c r="K57" s="49" t="n">
        <x:v>6.2</x:v>
      </x:c>
    </x:row>
    <x:row r="58">
      <x:c r="A58" s="48" t="n">
        <x:v>2025</x:v>
      </x:c>
      <x:c r="B58" s="48" t="str">
        <x:v>UHF 42</x:v>
      </x:c>
      <x:c r="C58" s="48" t="n">
        <x:v>208</x:v>
      </x:c>
      <x:c r="D58" s="48" t="n">
        <x:v>4</x:v>
      </x:c>
      <x:c r="E58" s="48" t="n">
        <x:v>2</x:v>
      </x:c>
      <x:c r="F58" s="48" t="str">
        <x:v>Brooklyn</x:v>
      </x:c>
      <x:c r="G58" s="48" t="str">
        <x:v>Canarsie - Flatlands</x:v>
      </x:c>
      <x:c r="H58" s="48" t="str">
        <x:v>Canarsie - Flatlands  Brooklyn</x:v>
      </x:c>
      <x:c r="I58" s="49" t="n">
        <x:v>6</x:v>
      </x:c>
      <x:c r="J58" s="49" t="n">
        <x:v>7.8</x:v>
      </x:c>
      <x:c r="K58" s="49" t="n">
        <x:v>6</x:v>
      </x:c>
    </x:row>
    <x:row r="59">
      <x:c r="A59" s="48" t="n">
        <x:v>2025</x:v>
      </x:c>
      <x:c r="B59" s="48" t="str">
        <x:v>UHF 42</x:v>
      </x:c>
      <x:c r="C59" s="48" t="n">
        <x:v>209</x:v>
      </x:c>
      <x:c r="D59" s="48" t="n">
        <x:v>4</x:v>
      </x:c>
      <x:c r="E59" s="48" t="n">
        <x:v>2</x:v>
      </x:c>
      <x:c r="F59" s="48" t="str">
        <x:v>Brooklyn</x:v>
      </x:c>
      <x:c r="G59" s="48" t="str">
        <x:v>Bensonhurst - Bay Ridge</x:v>
      </x:c>
      <x:c r="H59" s="48" t="str">
        <x:v>Bensonhurst - Bay Ridge  Brooklyn</x:v>
      </x:c>
      <x:c r="I59" s="49" t="n">
        <x:v>6.1</x:v>
      </x:c>
      <x:c r="J59" s="49" t="n">
        <x:v>7.9</x:v>
      </x:c>
      <x:c r="K59" s="49" t="n">
        <x:v>6.2</x:v>
      </x:c>
    </x:row>
    <x:row r="60">
      <x:c r="A60" s="48" t="n">
        <x:v>2025</x:v>
      </x:c>
      <x:c r="B60" s="48" t="str">
        <x:v>UHF 42</x:v>
      </x:c>
      <x:c r="C60" s="48" t="n">
        <x:v>210</x:v>
      </x:c>
      <x:c r="D60" s="48" t="n">
        <x:v>4</x:v>
      </x:c>
      <x:c r="E60" s="48" t="n">
        <x:v>2</x:v>
      </x:c>
      <x:c r="F60" s="48" t="str">
        <x:v>Brooklyn</x:v>
      </x:c>
      <x:c r="G60" s="48" t="str">
        <x:v>Coney Island - Sheepshead Bay</x:v>
      </x:c>
      <x:c r="H60" s="48" t="str">
        <x:v>Coney Island - Sheepshead Bay  Brooklyn</x:v>
      </x:c>
      <x:c r="I60" s="49" t="n">
        <x:v>6</x:v>
      </x:c>
      <x:c r="J60" s="49" t="n">
        <x:v>7.9</x:v>
      </x:c>
      <x:c r="K60" s="49" t="n">
        <x:v>6</x:v>
      </x:c>
    </x:row>
    <x:row r="61">
      <x:c r="A61" s="48" t="n">
        <x:v>2025</x:v>
      </x:c>
      <x:c r="B61" s="48" t="str">
        <x:v>UHF 42</x:v>
      </x:c>
      <x:c r="C61" s="48" t="n">
        <x:v>211</x:v>
      </x:c>
      <x:c r="D61" s="48" t="n">
        <x:v>4</x:v>
      </x:c>
      <x:c r="E61" s="48" t="n">
        <x:v>2</x:v>
      </x:c>
      <x:c r="F61" s="48" t="str">
        <x:v>Brooklyn</x:v>
      </x:c>
      <x:c r="G61" s="48" t="str">
        <x:v>Williamsburg - Bushwick</x:v>
      </x:c>
      <x:c r="H61" s="48" t="str">
        <x:v>Williamsburg - Bushwick  Brooklyn</x:v>
      </x:c>
      <x:c r="I61" s="49" t="n">
        <x:v>7</x:v>
      </x:c>
      <x:c r="J61" s="49" t="n">
        <x:v>8.6</x:v>
      </x:c>
      <x:c r="K61" s="49" t="n">
        <x:v>7.2</x:v>
      </x:c>
    </x:row>
    <x:row r="62">
      <x:c r="A62" s="48" t="n">
        <x:v>2025</x:v>
      </x:c>
      <x:c r="B62" s="48" t="str">
        <x:v>UHF 42</x:v>
      </x:c>
      <x:c r="C62" s="48" t="n">
        <x:v>301</x:v>
      </x:c>
      <x:c r="D62" s="48" t="n">
        <x:v>4</x:v>
      </x:c>
      <x:c r="E62" s="48" t="n">
        <x:v>3</x:v>
      </x:c>
      <x:c r="F62" s="48" t="str">
        <x:v>Manhattan</x:v>
      </x:c>
      <x:c r="G62" s="48" t="str">
        <x:v>Washington Heights</x:v>
      </x:c>
      <x:c r="H62" s="48" t="str">
        <x:v>Washington Heights  Manhattan</x:v>
      </x:c>
      <x:c r="I62" s="49" t="n">
        <x:v>6.6</x:v>
      </x:c>
      <x:c r="J62" s="49" t="n">
        <x:v>8.3</x:v>
      </x:c>
      <x:c r="K62" s="49" t="n">
        <x:v>6.6</x:v>
      </x:c>
    </x:row>
    <x:row r="63">
      <x:c r="A63" s="48" t="n">
        <x:v>2025</x:v>
      </x:c>
      <x:c r="B63" s="48" t="str">
        <x:v>UHF 42</x:v>
      </x:c>
      <x:c r="C63" s="48" t="n">
        <x:v>302</x:v>
      </x:c>
      <x:c r="D63" s="48" t="n">
        <x:v>4</x:v>
      </x:c>
      <x:c r="E63" s="48" t="n">
        <x:v>3</x:v>
      </x:c>
      <x:c r="F63" s="48" t="str">
        <x:v>Manhattan</x:v>
      </x:c>
      <x:c r="G63" s="48" t="str">
        <x:v>Central Harlem - Morningside Heights</x:v>
      </x:c>
      <x:c r="H63" s="48" t="str">
        <x:v>Central Harlem - Morningside Heights  Manhattan</x:v>
      </x:c>
      <x:c r="I63" s="49" t="n">
        <x:v>6.6</x:v>
      </x:c>
      <x:c r="J63" s="49" t="n">
        <x:v>8.3</x:v>
      </x:c>
      <x:c r="K63" s="49" t="n">
        <x:v>6.7</x:v>
      </x:c>
    </x:row>
    <x:row r="64">
      <x:c r="A64" s="48" t="n">
        <x:v>2025</x:v>
      </x:c>
      <x:c r="B64" s="48" t="str">
        <x:v>UHF 42</x:v>
      </x:c>
      <x:c r="C64" s="48" t="n">
        <x:v>303</x:v>
      </x:c>
      <x:c r="D64" s="48" t="n">
        <x:v>4</x:v>
      </x:c>
      <x:c r="E64" s="48" t="n">
        <x:v>3</x:v>
      </x:c>
      <x:c r="F64" s="48" t="str">
        <x:v>Manhattan</x:v>
      </x:c>
      <x:c r="G64" s="48" t="str">
        <x:v>East Harlem</x:v>
      </x:c>
      <x:c r="H64" s="48" t="str">
        <x:v>East Harlem  Manhattan</x:v>
      </x:c>
      <x:c r="I64" s="49" t="n">
        <x:v>6.5</x:v>
      </x:c>
      <x:c r="J64" s="49" t="n">
        <x:v>8.2</x:v>
      </x:c>
      <x:c r="K64" s="49" t="n">
        <x:v>6.6</x:v>
      </x:c>
    </x:row>
    <x:row r="65">
      <x:c r="A65" s="48" t="n">
        <x:v>2025</x:v>
      </x:c>
      <x:c r="B65" s="48" t="str">
        <x:v>UHF 42</x:v>
      </x:c>
      <x:c r="C65" s="48" t="n">
        <x:v>304</x:v>
      </x:c>
      <x:c r="D65" s="48" t="n">
        <x:v>4</x:v>
      </x:c>
      <x:c r="E65" s="48" t="n">
        <x:v>3</x:v>
      </x:c>
      <x:c r="F65" s="48" t="str">
        <x:v>Manhattan</x:v>
      </x:c>
      <x:c r="G65" s="48" t="str">
        <x:v>Upper West Side</x:v>
      </x:c>
      <x:c r="H65" s="48" t="str">
        <x:v>Upper West Side  Manhattan</x:v>
      </x:c>
      <x:c r="I65" s="49" t="n">
        <x:v>6.5</x:v>
      </x:c>
      <x:c r="J65" s="49" t="n">
        <x:v>8.3</x:v>
      </x:c>
      <x:c r="K65" s="49" t="n">
        <x:v>6.6</x:v>
      </x:c>
    </x:row>
    <x:row r="66">
      <x:c r="A66" s="48" t="n">
        <x:v>2025</x:v>
      </x:c>
      <x:c r="B66" s="48" t="str">
        <x:v>UHF 42</x:v>
      </x:c>
      <x:c r="C66" s="48" t="n">
        <x:v>305</x:v>
      </x:c>
      <x:c r="D66" s="48" t="n">
        <x:v>4</x:v>
      </x:c>
      <x:c r="E66" s="48" t="n">
        <x:v>3</x:v>
      </x:c>
      <x:c r="F66" s="48" t="str">
        <x:v>Manhattan</x:v>
      </x:c>
      <x:c r="G66" s="48" t="str">
        <x:v>Upper East Side</x:v>
      </x:c>
      <x:c r="H66" s="48" t="str">
        <x:v>Upper East Side  Manhattan</x:v>
      </x:c>
      <x:c r="I66" s="49" t="n">
        <x:v>6.8</x:v>
      </x:c>
      <x:c r="J66" s="49" t="n">
        <x:v>8.5</x:v>
      </x:c>
      <x:c r="K66" s="49" t="n">
        <x:v>6.9</x:v>
      </x:c>
    </x:row>
    <x:row r="67">
      <x:c r="A67" s="48" t="n">
        <x:v>2025</x:v>
      </x:c>
      <x:c r="B67" s="48" t="str">
        <x:v>UHF 42</x:v>
      </x:c>
      <x:c r="C67" s="48" t="n">
        <x:v>306</x:v>
      </x:c>
      <x:c r="D67" s="48" t="n">
        <x:v>4</x:v>
      </x:c>
      <x:c r="E67" s="48" t="n">
        <x:v>3</x:v>
      </x:c>
      <x:c r="F67" s="48" t="str">
        <x:v>Manhattan</x:v>
      </x:c>
      <x:c r="G67" s="48" t="str">
        <x:v>Chelsea - Clinton</x:v>
      </x:c>
      <x:c r="H67" s="48" t="str">
        <x:v>Chelsea - Clinton  Manhattan</x:v>
      </x:c>
      <x:c r="I67" s="49" t="n">
        <x:v>8.8</x:v>
      </x:c>
      <x:c r="J67" s="49" t="n">
        <x:v>10.2</x:v>
      </x:c>
      <x:c r="K67" s="49" t="n">
        <x:v>9.2</x:v>
      </x:c>
    </x:row>
    <x:row r="68">
      <x:c r="A68" s="48" t="n">
        <x:v>2025</x:v>
      </x:c>
      <x:c r="B68" s="48" t="str">
        <x:v>UHF 42</x:v>
      </x:c>
      <x:c r="C68" s="48" t="n">
        <x:v>307</x:v>
      </x:c>
      <x:c r="D68" s="48" t="n">
        <x:v>4</x:v>
      </x:c>
      <x:c r="E68" s="48" t="n">
        <x:v>3</x:v>
      </x:c>
      <x:c r="F68" s="48" t="str">
        <x:v>Manhattan</x:v>
      </x:c>
      <x:c r="G68" s="48" t="str">
        <x:v>Gramercy Park - Murray Hill</x:v>
      </x:c>
      <x:c r="H68" s="48" t="str">
        <x:v>Gramercy Park - Murray Hill  Manhattan</x:v>
      </x:c>
      <x:c r="I68" s="49" t="n">
        <x:v>8.4</x:v>
      </x:c>
      <x:c r="J68" s="49" t="n">
        <x:v>9.9</x:v>
      </x:c>
      <x:c r="K68" s="49" t="n">
        <x:v>8.7</x:v>
      </x:c>
    </x:row>
    <x:row r="69">
      <x:c r="A69" s="48" t="n">
        <x:v>2025</x:v>
      </x:c>
      <x:c r="B69" s="48" t="str">
        <x:v>UHF 42</x:v>
      </x:c>
      <x:c r="C69" s="48" t="n">
        <x:v>308</x:v>
      </x:c>
      <x:c r="D69" s="48" t="n">
        <x:v>4</x:v>
      </x:c>
      <x:c r="E69" s="48" t="n">
        <x:v>3</x:v>
      </x:c>
      <x:c r="F69" s="48" t="str">
        <x:v>Manhattan</x:v>
      </x:c>
      <x:c r="G69" s="48" t="str">
        <x:v>Greenwich Village - SoHo</x:v>
      </x:c>
      <x:c r="H69" s="48" t="str">
        <x:v>Greenwich Village - SoHo  Manhattan</x:v>
      </x:c>
      <x:c r="I69" s="49" t="n">
        <x:v>8.3</x:v>
      </x:c>
      <x:c r="J69" s="49" t="n">
        <x:v>9.9</x:v>
      </x:c>
      <x:c r="K69" s="49" t="n">
        <x:v>8.7</x:v>
      </x:c>
    </x:row>
    <x:row r="70">
      <x:c r="A70" s="48" t="n">
        <x:v>2025</x:v>
      </x:c>
      <x:c r="B70" s="48" t="str">
        <x:v>UHF 42</x:v>
      </x:c>
      <x:c r="C70" s="48" t="n">
        <x:v>309</x:v>
      </x:c>
      <x:c r="D70" s="48" t="n">
        <x:v>4</x:v>
      </x:c>
      <x:c r="E70" s="48" t="n">
        <x:v>3</x:v>
      </x:c>
      <x:c r="F70" s="48" t="str">
        <x:v>Manhattan</x:v>
      </x:c>
      <x:c r="G70" s="48" t="str">
        <x:v>Union Square - Lower East Side</x:v>
      </x:c>
      <x:c r="H70" s="48" t="str">
        <x:v>Union Square - Lower East Side  Manhattan</x:v>
      </x:c>
      <x:c r="I70" s="49" t="n">
        <x:v>8</x:v>
      </x:c>
      <x:c r="J70" s="49" t="n">
        <x:v>9.6</x:v>
      </x:c>
      <x:c r="K70" s="49" t="n">
        <x:v>8.3</x:v>
      </x:c>
    </x:row>
    <x:row r="71">
      <x:c r="A71" s="48" t="n">
        <x:v>2025</x:v>
      </x:c>
      <x:c r="B71" s="48" t="str">
        <x:v>UHF 42</x:v>
      </x:c>
      <x:c r="C71" s="48" t="n">
        <x:v>310</x:v>
      </x:c>
      <x:c r="D71" s="48" t="n">
        <x:v>4</x:v>
      </x:c>
      <x:c r="E71" s="48" t="n">
        <x:v>3</x:v>
      </x:c>
      <x:c r="F71" s="48" t="str">
        <x:v>Manhattan</x:v>
      </x:c>
      <x:c r="G71" s="48" t="str">
        <x:v>Lower Manhattan</x:v>
      </x:c>
      <x:c r="H71" s="48" t="str">
        <x:v>Lower Manhattan  Manhattan</x:v>
      </x:c>
      <x:c r="I71" s="49" t="n">
        <x:v>7.5</x:v>
      </x:c>
      <x:c r="J71" s="49" t="n">
        <x:v>9.2</x:v>
      </x:c>
      <x:c r="K71" s="49" t="n">
        <x:v>7.7</x:v>
      </x:c>
    </x:row>
    <x:row r="72">
      <x:c r="A72" s="48" t="n">
        <x:v>2025</x:v>
      </x:c>
      <x:c r="B72" s="48" t="str">
        <x:v>UHF 42</x:v>
      </x:c>
      <x:c r="C72" s="48" t="n">
        <x:v>401</x:v>
      </x:c>
      <x:c r="D72" s="48" t="n">
        <x:v>4</x:v>
      </x:c>
      <x:c r="E72" s="48" t="n">
        <x:v>4</x:v>
      </x:c>
      <x:c r="F72" s="48" t="str">
        <x:v>Queens</x:v>
      </x:c>
      <x:c r="G72" s="48" t="str">
        <x:v>Long Island City - Astoria</x:v>
      </x:c>
      <x:c r="H72" s="48" t="str">
        <x:v>Long Island City - Astoria  Queens</x:v>
      </x:c>
      <x:c r="I72" s="49" t="n">
        <x:v>7</x:v>
      </x:c>
      <x:c r="J72" s="49" t="n">
        <x:v>8.5</x:v>
      </x:c>
      <x:c r="K72" s="49" t="n">
        <x:v>7.2</x:v>
      </x:c>
    </x:row>
    <x:row r="73">
      <x:c r="A73" s="48" t="n">
        <x:v>2025</x:v>
      </x:c>
      <x:c r="B73" s="48" t="str">
        <x:v>UHF 42</x:v>
      </x:c>
      <x:c r="C73" s="48" t="n">
        <x:v>402</x:v>
      </x:c>
      <x:c r="D73" s="48" t="n">
        <x:v>4</x:v>
      </x:c>
      <x:c r="E73" s="48" t="n">
        <x:v>4</x:v>
      </x:c>
      <x:c r="F73" s="48" t="str">
        <x:v>Queens</x:v>
      </x:c>
      <x:c r="G73" s="48" t="str">
        <x:v>West Queens</x:v>
      </x:c>
      <x:c r="H73" s="48" t="str">
        <x:v>West Queens  Queens</x:v>
      </x:c>
      <x:c r="I73" s="49" t="n">
        <x:v>6.9</x:v>
      </x:c>
      <x:c r="J73" s="49" t="n">
        <x:v>8.4</x:v>
      </x:c>
      <x:c r="K73" s="49" t="n">
        <x:v>7.2</x:v>
      </x:c>
    </x:row>
    <x:row r="74">
      <x:c r="A74" s="48" t="n">
        <x:v>2025</x:v>
      </x:c>
      <x:c r="B74" s="48" t="str">
        <x:v>UHF 42</x:v>
      </x:c>
      <x:c r="C74" s="48" t="n">
        <x:v>403</x:v>
      </x:c>
      <x:c r="D74" s="48" t="n">
        <x:v>4</x:v>
      </x:c>
      <x:c r="E74" s="48" t="n">
        <x:v>4</x:v>
      </x:c>
      <x:c r="F74" s="48" t="str">
        <x:v>Queens</x:v>
      </x:c>
      <x:c r="G74" s="48" t="str">
        <x:v>Flushing - Clearview</x:v>
      </x:c>
      <x:c r="H74" s="48" t="str">
        <x:v>Flushing - Clearview  Queens</x:v>
      </x:c>
      <x:c r="I74" s="49" t="n">
        <x:v>6.3</x:v>
      </x:c>
      <x:c r="J74" s="49" t="n">
        <x:v>8</x:v>
      </x:c>
      <x:c r="K74" s="49" t="n">
        <x:v>6.3</x:v>
      </x:c>
    </x:row>
    <x:row r="75">
      <x:c r="A75" s="48" t="n">
        <x:v>2025</x:v>
      </x:c>
      <x:c r="B75" s="48" t="str">
        <x:v>UHF 42</x:v>
      </x:c>
      <x:c r="C75" s="48" t="n">
        <x:v>404</x:v>
      </x:c>
      <x:c r="D75" s="48" t="n">
        <x:v>4</x:v>
      </x:c>
      <x:c r="E75" s="48" t="n">
        <x:v>4</x:v>
      </x:c>
      <x:c r="F75" s="48" t="str">
        <x:v>Queens</x:v>
      </x:c>
      <x:c r="G75" s="48" t="str">
        <x:v>Bayside - Little Neck</x:v>
      </x:c>
      <x:c r="H75" s="48" t="str">
        <x:v>Bayside - Little Neck  Queens</x:v>
      </x:c>
      <x:c r="I75" s="49" t="n">
        <x:v>6.1</x:v>
      </x:c>
      <x:c r="J75" s="49" t="n">
        <x:v>7.8</x:v>
      </x:c>
      <x:c r="K75" s="49" t="n">
        <x:v>6</x:v>
      </x:c>
    </x:row>
    <x:row r="76">
      <x:c r="A76" s="48" t="n">
        <x:v>2025</x:v>
      </x:c>
      <x:c r="B76" s="48" t="str">
        <x:v>UHF 42</x:v>
      </x:c>
      <x:c r="C76" s="48" t="n">
        <x:v>405</x:v>
      </x:c>
      <x:c r="D76" s="48" t="n">
        <x:v>4</x:v>
      </x:c>
      <x:c r="E76" s="48" t="n">
        <x:v>4</x:v>
      </x:c>
      <x:c r="F76" s="48" t="str">
        <x:v>Queens</x:v>
      </x:c>
      <x:c r="G76" s="48" t="str">
        <x:v>Ridgewood - Forest Hills</x:v>
      </x:c>
      <x:c r="H76" s="48" t="str">
        <x:v>Ridgewood - Forest Hills  Queens</x:v>
      </x:c>
      <x:c r="I76" s="49" t="n">
        <x:v>6.3</x:v>
      </x:c>
      <x:c r="J76" s="49" t="n">
        <x:v>8</x:v>
      </x:c>
      <x:c r="K76" s="49" t="n">
        <x:v>6.3</x:v>
      </x:c>
    </x:row>
    <x:row r="77">
      <x:c r="A77" s="48" t="n">
        <x:v>2025</x:v>
      </x:c>
      <x:c r="B77" s="48" t="str">
        <x:v>UHF 42</x:v>
      </x:c>
      <x:c r="C77" s="48" t="n">
        <x:v>406</x:v>
      </x:c>
      <x:c r="D77" s="48" t="n">
        <x:v>4</x:v>
      </x:c>
      <x:c r="E77" s="48" t="n">
        <x:v>4</x:v>
      </x:c>
      <x:c r="F77" s="48" t="str">
        <x:v>Queens</x:v>
      </x:c>
      <x:c r="G77" s="48" t="str">
        <x:v>Fresh Meadows</x:v>
      </x:c>
      <x:c r="H77" s="48" t="str">
        <x:v>Fresh Meadows  Queens</x:v>
      </x:c>
      <x:c r="I77" s="49" t="n">
        <x:v>6</x:v>
      </x:c>
      <x:c r="J77" s="49" t="n">
        <x:v>7.8</x:v>
      </x:c>
      <x:c r="K77" s="49" t="n">
        <x:v>6</x:v>
      </x:c>
    </x:row>
    <x:row r="78">
      <x:c r="A78" s="48" t="n">
        <x:v>2025</x:v>
      </x:c>
      <x:c r="B78" s="48" t="str">
        <x:v>UHF 42</x:v>
      </x:c>
      <x:c r="C78" s="48" t="n">
        <x:v>407</x:v>
      </x:c>
      <x:c r="D78" s="48" t="n">
        <x:v>4</x:v>
      </x:c>
      <x:c r="E78" s="48" t="n">
        <x:v>4</x:v>
      </x:c>
      <x:c r="F78" s="48" t="str">
        <x:v>Queens</x:v>
      </x:c>
      <x:c r="G78" s="48" t="str">
        <x:v>Southwest Queens</x:v>
      </x:c>
      <x:c r="H78" s="48" t="str">
        <x:v>Southwest Queens  Queens</x:v>
      </x:c>
      <x:c r="I78" s="49" t="n">
        <x:v>6.1</x:v>
      </x:c>
      <x:c r="J78" s="49" t="n">
        <x:v>7.9</x:v>
      </x:c>
      <x:c r="K78" s="49" t="n">
        <x:v>6.1</x:v>
      </x:c>
    </x:row>
    <x:row r="79">
      <x:c r="A79" s="48" t="n">
        <x:v>2025</x:v>
      </x:c>
      <x:c r="B79" s="48" t="str">
        <x:v>UHF 42</x:v>
      </x:c>
      <x:c r="C79" s="48" t="n">
        <x:v>408</x:v>
      </x:c>
      <x:c r="D79" s="48" t="n">
        <x:v>4</x:v>
      </x:c>
      <x:c r="E79" s="48" t="n">
        <x:v>4</x:v>
      </x:c>
      <x:c r="F79" s="48" t="str">
        <x:v>Queens</x:v>
      </x:c>
      <x:c r="G79" s="48" t="str">
        <x:v>Jamaica</x:v>
      </x:c>
      <x:c r="H79" s="48" t="str">
        <x:v>Jamaica  Queens</x:v>
      </x:c>
      <x:c r="I79" s="49" t="n">
        <x:v>6.2</x:v>
      </x:c>
      <x:c r="J79" s="49" t="n">
        <x:v>7.9</x:v>
      </x:c>
      <x:c r="K79" s="49" t="n">
        <x:v>6.2</x:v>
      </x:c>
    </x:row>
    <x:row r="80">
      <x:c r="A80" s="48" t="n">
        <x:v>2025</x:v>
      </x:c>
      <x:c r="B80" s="48" t="str">
        <x:v>UHF 42</x:v>
      </x:c>
      <x:c r="C80" s="48" t="n">
        <x:v>409</x:v>
      </x:c>
      <x:c r="D80" s="48" t="n">
        <x:v>4</x:v>
      </x:c>
      <x:c r="E80" s="48" t="n">
        <x:v>4</x:v>
      </x:c>
      <x:c r="F80" s="48" t="str">
        <x:v>Queens</x:v>
      </x:c>
      <x:c r="G80" s="48" t="str">
        <x:v>Southeast Queens</x:v>
      </x:c>
      <x:c r="H80" s="48" t="str">
        <x:v>Southeast Queens  Queens</x:v>
      </x:c>
      <x:c r="I80" s="49" t="n">
        <x:v>6</x:v>
      </x:c>
      <x:c r="J80" s="49" t="n">
        <x:v>7.8</x:v>
      </x:c>
      <x:c r="K80" s="49" t="n">
        <x:v>5.9</x:v>
      </x:c>
    </x:row>
    <x:row r="81">
      <x:c r="A81" s="48" t="n">
        <x:v>2025</x:v>
      </x:c>
      <x:c r="B81" s="48" t="str">
        <x:v>UHF 42</x:v>
      </x:c>
      <x:c r="C81" s="48" t="n">
        <x:v>410</x:v>
      </x:c>
      <x:c r="D81" s="48" t="n">
        <x:v>4</x:v>
      </x:c>
      <x:c r="E81" s="48" t="n">
        <x:v>4</x:v>
      </x:c>
      <x:c r="F81" s="48" t="str">
        <x:v>Queens</x:v>
      </x:c>
      <x:c r="G81" s="48" t="str">
        <x:v>Rockaways</x:v>
      </x:c>
      <x:c r="H81" s="48" t="str">
        <x:v>Rockaways  Queens</x:v>
      </x:c>
      <x:c r="I81" s="49" t="n">
        <x:v>5.8</x:v>
      </x:c>
      <x:c r="J81" s="49" t="n">
        <x:v>7.7</x:v>
      </x:c>
      <x:c r="K81" s="49" t="n">
        <x:v>5.7</x:v>
      </x:c>
    </x:row>
    <x:row r="82">
      <x:c r="A82" s="48" t="n">
        <x:v>2025</x:v>
      </x:c>
      <x:c r="B82" s="48" t="str">
        <x:v>UHF 42</x:v>
      </x:c>
      <x:c r="C82" s="48" t="n">
        <x:v>501</x:v>
      </x:c>
      <x:c r="D82" s="48" t="n">
        <x:v>4</x:v>
      </x:c>
      <x:c r="E82" s="48" t="n">
        <x:v>5</x:v>
      </x:c>
      <x:c r="F82" s="48" t="str">
        <x:v>Staten Island</x:v>
      </x:c>
      <x:c r="G82" s="48" t="str">
        <x:v>Port Richmond</x:v>
      </x:c>
      <x:c r="H82" s="48" t="str">
        <x:v>Port Richmond  Staten Island</x:v>
      </x:c>
      <x:c r="I82" s="49" t="n">
        <x:v>6</x:v>
      </x:c>
      <x:c r="J82" s="49" t="n">
        <x:v>7.7</x:v>
      </x:c>
      <x:c r="K82" s="49" t="n">
        <x:v>6.2</x:v>
      </x:c>
    </x:row>
    <x:row r="83">
      <x:c r="A83" s="48" t="n">
        <x:v>2025</x:v>
      </x:c>
      <x:c r="B83" s="48" t="str">
        <x:v>UHF 42</x:v>
      </x:c>
      <x:c r="C83" s="48" t="n">
        <x:v>502</x:v>
      </x:c>
      <x:c r="D83" s="48" t="n">
        <x:v>4</x:v>
      </x:c>
      <x:c r="E83" s="48" t="n">
        <x:v>5</x:v>
      </x:c>
      <x:c r="F83" s="48" t="str">
        <x:v>Staten Island</x:v>
      </x:c>
      <x:c r="G83" s="48" t="str">
        <x:v>Stapleton - St. George</x:v>
      </x:c>
      <x:c r="H83" s="48" t="str">
        <x:v>Stapleton - St. George  Staten Island</x:v>
      </x:c>
      <x:c r="I83" s="49" t="n">
        <x:v>5.9</x:v>
      </x:c>
      <x:c r="J83" s="49" t="n">
        <x:v>7.7</x:v>
      </x:c>
      <x:c r="K83" s="49" t="n">
        <x:v>6</x:v>
      </x:c>
    </x:row>
    <x:row r="84">
      <x:c r="A84" s="48" t="n">
        <x:v>2025</x:v>
      </x:c>
      <x:c r="B84" s="48" t="str">
        <x:v>UHF 42</x:v>
      </x:c>
      <x:c r="C84" s="48" t="n">
        <x:v>503</x:v>
      </x:c>
      <x:c r="D84" s="48" t="n">
        <x:v>4</x:v>
      </x:c>
      <x:c r="E84" s="48" t="n">
        <x:v>5</x:v>
      </x:c>
      <x:c r="F84" s="48" t="str">
        <x:v>Staten Island</x:v>
      </x:c>
      <x:c r="G84" s="48" t="str">
        <x:v>Willowbrook</x:v>
      </x:c>
      <x:c r="H84" s="48" t="str">
        <x:v>Willowbrook  Staten Island</x:v>
      </x:c>
      <x:c r="I84" s="49" t="n">
        <x:v>5.8</x:v>
      </x:c>
      <x:c r="J84" s="49" t="n">
        <x:v>7.5</x:v>
      </x:c>
      <x:c r="K84" s="49" t="n">
        <x:v>6.1</x:v>
      </x:c>
    </x:row>
    <x:row r="85">
      <x:c r="A85" s="48" t="n">
        <x:v>2025</x:v>
      </x:c>
      <x:c r="B85" s="48" t="str">
        <x:v>UHF 42</x:v>
      </x:c>
      <x:c r="C85" s="48" t="n">
        <x:v>504</x:v>
      </x:c>
      <x:c r="D85" s="48" t="n">
        <x:v>4</x:v>
      </x:c>
      <x:c r="E85" s="48" t="n">
        <x:v>5</x:v>
      </x:c>
      <x:c r="F85" s="48" t="str">
        <x:v>Staten Island</x:v>
      </x:c>
      <x:c r="G85" s="48" t="str">
        <x:v>South Beach - Tottenville</x:v>
      </x:c>
      <x:c r="H85" s="48" t="str">
        <x:v>South Beach - Tottenville  Staten Island</x:v>
      </x:c>
      <x:c r="I85" s="49" t="n">
        <x:v>5.7</x:v>
      </x:c>
      <x:c r="J85" s="49" t="n">
        <x:v>7.3</x:v>
      </x:c>
      <x:c r="K85" s="49" t="n">
        <x:v>5.9</x:v>
      </x:c>
    </x:row>
    <x:row r="86">
      <x:c r="A86" s="48" t="n">
        <x:v>2025</x:v>
      </x:c>
      <x:c r="B86" s="48" t="str">
        <x:v>Community District</x:v>
      </x:c>
      <x:c r="C86" s="48" t="n">
        <x:v>201</x:v>
      </x:c>
      <x:c r="D86" s="48" t="n">
        <x:v>6</x:v>
      </x:c>
      <x:c r="E86" s="48" t="n">
        <x:v>1</x:v>
      </x:c>
      <x:c r="F86" s="48" t="str">
        <x:v>Bronx</x:v>
      </x:c>
      <x:c r="G86" s="48" t="str">
        <x:v>Mott Haven and Melrose (CD1)</x:v>
      </x:c>
      <x:c r="H86" s="48" t="str">
        <x:v>Mott Haven and Melrose (CD1)  Bronx</x:v>
      </x:c>
      <x:c r="I86" s="49" t="n">
        <x:v>6.6</x:v>
      </x:c>
      <x:c r="J86" s="49" t="n">
        <x:v>8.2</x:v>
      </x:c>
      <x:c r="K86" s="49" t="n">
        <x:v>6.7</x:v>
      </x:c>
    </x:row>
    <x:row r="87">
      <x:c r="A87" s="48" t="n">
        <x:v>2025</x:v>
      </x:c>
      <x:c r="B87" s="48" t="str">
        <x:v>Community District</x:v>
      </x:c>
      <x:c r="C87" s="48" t="n">
        <x:v>202</x:v>
      </x:c>
      <x:c r="D87" s="48" t="n">
        <x:v>6</x:v>
      </x:c>
      <x:c r="E87" s="48" t="n">
        <x:v>1</x:v>
      </x:c>
      <x:c r="F87" s="48" t="str">
        <x:v>Bronx</x:v>
      </x:c>
      <x:c r="G87" s="48" t="str">
        <x:v>Hunts Point and Longwood (CD2)</x:v>
      </x:c>
      <x:c r="H87" s="48" t="str">
        <x:v>Hunts Point and Longwood (CD2)  Bronx</x:v>
      </x:c>
      <x:c r="I87" s="49" t="n">
        <x:v>7.1</x:v>
      </x:c>
      <x:c r="J87" s="49" t="n">
        <x:v>8.5</x:v>
      </x:c>
      <x:c r="K87" s="49" t="n">
        <x:v>7.4</x:v>
      </x:c>
    </x:row>
    <x:row r="88">
      <x:c r="A88" s="48" t="n">
        <x:v>2025</x:v>
      </x:c>
      <x:c r="B88" s="48" t="str">
        <x:v>Community District</x:v>
      </x:c>
      <x:c r="C88" s="48" t="n">
        <x:v>203</x:v>
      </x:c>
      <x:c r="D88" s="48" t="n">
        <x:v>6</x:v>
      </x:c>
      <x:c r="E88" s="48" t="n">
        <x:v>1</x:v>
      </x:c>
      <x:c r="F88" s="48" t="str">
        <x:v>Bronx</x:v>
      </x:c>
      <x:c r="G88" s="48" t="str">
        <x:v>Morrisania and Crotona (CD3)</x:v>
      </x:c>
      <x:c r="H88" s="48" t="str">
        <x:v>Morrisania and Crotona (CD3)  Bronx</x:v>
      </x:c>
      <x:c r="I88" s="49" t="n">
        <x:v>6.5</x:v>
      </x:c>
      <x:c r="J88" s="49" t="n">
        <x:v>8.2</x:v>
      </x:c>
      <x:c r="K88" s="49" t="n">
        <x:v>6.6</x:v>
      </x:c>
    </x:row>
    <x:row r="89">
      <x:c r="A89" s="48" t="n">
        <x:v>2025</x:v>
      </x:c>
      <x:c r="B89" s="48" t="str">
        <x:v>Community District</x:v>
      </x:c>
      <x:c r="C89" s="48" t="n">
        <x:v>204</x:v>
      </x:c>
      <x:c r="D89" s="48" t="n">
        <x:v>6</x:v>
      </x:c>
      <x:c r="E89" s="48" t="n">
        <x:v>1</x:v>
      </x:c>
      <x:c r="F89" s="48" t="str">
        <x:v>Bronx</x:v>
      </x:c>
      <x:c r="G89" s="48" t="str">
        <x:v>Highbridge and Concourse (CD4)</x:v>
      </x:c>
      <x:c r="H89" s="48" t="str">
        <x:v>Highbridge and Concourse (CD4)  Bronx</x:v>
      </x:c>
      <x:c r="I89" s="49" t="n">
        <x:v>6.4</x:v>
      </x:c>
      <x:c r="J89" s="49" t="n">
        <x:v>8.1</x:v>
      </x:c>
      <x:c r="K89" s="49" t="n">
        <x:v>6.4</x:v>
      </x:c>
    </x:row>
    <x:row r="90">
      <x:c r="A90" s="48" t="n">
        <x:v>2025</x:v>
      </x:c>
      <x:c r="B90" s="48" t="str">
        <x:v>Community District</x:v>
      </x:c>
      <x:c r="C90" s="48" t="n">
        <x:v>205</x:v>
      </x:c>
      <x:c r="D90" s="48" t="n">
        <x:v>6</x:v>
      </x:c>
      <x:c r="E90" s="48" t="n">
        <x:v>1</x:v>
      </x:c>
      <x:c r="F90" s="48" t="str">
        <x:v>Bronx</x:v>
      </x:c>
      <x:c r="G90" s="48" t="str">
        <x:v>Fordham and University Heights (CD5)</x:v>
      </x:c>
      <x:c r="H90" s="48" t="str">
        <x:v>Fordham and University Heights (CD5)  Bronx</x:v>
      </x:c>
      <x:c r="I90" s="49" t="n">
        <x:v>6.4</x:v>
      </x:c>
      <x:c r="J90" s="49" t="n">
        <x:v>8.1</x:v>
      </x:c>
      <x:c r="K90" s="49" t="n">
        <x:v>6.4</x:v>
      </x:c>
    </x:row>
    <x:row r="91">
      <x:c r="A91" s="48" t="n">
        <x:v>2025</x:v>
      </x:c>
      <x:c r="B91" s="48" t="str">
        <x:v>Community District</x:v>
      </x:c>
      <x:c r="C91" s="48" t="n">
        <x:v>206</x:v>
      </x:c>
      <x:c r="D91" s="48" t="n">
        <x:v>6</x:v>
      </x:c>
      <x:c r="E91" s="48" t="n">
        <x:v>1</x:v>
      </x:c>
      <x:c r="F91" s="48" t="str">
        <x:v>Bronx</x:v>
      </x:c>
      <x:c r="G91" s="48" t="str">
        <x:v>Belmont and East Tremont (CD6)</x:v>
      </x:c>
      <x:c r="H91" s="48" t="str">
        <x:v>Belmont and East Tremont (CD6)  Bronx</x:v>
      </x:c>
      <x:c r="I91" s="49" t="n">
        <x:v>6.6</x:v>
      </x:c>
      <x:c r="J91" s="49" t="n">
        <x:v>8.3</x:v>
      </x:c>
      <x:c r="K91" s="49" t="n">
        <x:v>6.6</x:v>
      </x:c>
    </x:row>
    <x:row r="92">
      <x:c r="A92" s="48" t="n">
        <x:v>2025</x:v>
      </x:c>
      <x:c r="B92" s="48" t="str">
        <x:v>Community District</x:v>
      </x:c>
      <x:c r="C92" s="48" t="n">
        <x:v>207</x:v>
      </x:c>
      <x:c r="D92" s="48" t="n">
        <x:v>6</x:v>
      </x:c>
      <x:c r="E92" s="48" t="n">
        <x:v>1</x:v>
      </x:c>
      <x:c r="F92" s="48" t="str">
        <x:v>Bronx</x:v>
      </x:c>
      <x:c r="G92" s="48" t="str">
        <x:v>Kingsbridge Heights and Bedford (CD7)</x:v>
      </x:c>
      <x:c r="H92" s="48" t="str">
        <x:v>Kingsbridge Heights and Bedford (CD7)  Bronx</x:v>
      </x:c>
      <x:c r="I92" s="49" t="n">
        <x:v>6.5</x:v>
      </x:c>
      <x:c r="J92" s="49" t="n">
        <x:v>8.2</x:v>
      </x:c>
      <x:c r="K92" s="49" t="n">
        <x:v>6.5</x:v>
      </x:c>
    </x:row>
    <x:row r="93">
      <x:c r="A93" s="48" t="n">
        <x:v>2025</x:v>
      </x:c>
      <x:c r="B93" s="48" t="str">
        <x:v>Community District</x:v>
      </x:c>
      <x:c r="C93" s="48" t="n">
        <x:v>208</x:v>
      </x:c>
      <x:c r="D93" s="48" t="n">
        <x:v>6</x:v>
      </x:c>
      <x:c r="E93" s="48" t="n">
        <x:v>1</x:v>
      </x:c>
      <x:c r="F93" s="48" t="str">
        <x:v>Bronx</x:v>
      </x:c>
      <x:c r="G93" s="48" t="str">
        <x:v>Riverdale and Fieldston (CD8)</x:v>
      </x:c>
      <x:c r="H93" s="48" t="str">
        <x:v>Riverdale and Fieldston (CD8)  Bronx</x:v>
      </x:c>
      <x:c r="I93" s="49" t="n">
        <x:v>6.4</x:v>
      </x:c>
      <x:c r="J93" s="49" t="n">
        <x:v>8.1</x:v>
      </x:c>
      <x:c r="K93" s="49" t="n">
        <x:v>6.4</x:v>
      </x:c>
    </x:row>
    <x:row r="94">
      <x:c r="A94" s="48" t="n">
        <x:v>2025</x:v>
      </x:c>
      <x:c r="B94" s="48" t="str">
        <x:v>Community District</x:v>
      </x:c>
      <x:c r="C94" s="48" t="n">
        <x:v>209</x:v>
      </x:c>
      <x:c r="D94" s="48" t="n">
        <x:v>6</x:v>
      </x:c>
      <x:c r="E94" s="48" t="n">
        <x:v>1</x:v>
      </x:c>
      <x:c r="F94" s="48" t="str">
        <x:v>Bronx</x:v>
      </x:c>
      <x:c r="G94" s="48" t="str">
        <x:v>Parkchester and Soundview (CD9)</x:v>
      </x:c>
      <x:c r="H94" s="48" t="str">
        <x:v>Parkchester and Soundview (CD9)  Bronx</x:v>
      </x:c>
      <x:c r="I94" s="49" t="n">
        <x:v>6.5</x:v>
      </x:c>
      <x:c r="J94" s="49" t="n">
        <x:v>8.2</x:v>
      </x:c>
      <x:c r="K94" s="49" t="n">
        <x:v>6.5</x:v>
      </x:c>
    </x:row>
    <x:row r="95">
      <x:c r="A95" s="48" t="n">
        <x:v>2025</x:v>
      </x:c>
      <x:c r="B95" s="48" t="str">
        <x:v>Community District</x:v>
      </x:c>
      <x:c r="C95" s="48" t="n">
        <x:v>210</x:v>
      </x:c>
      <x:c r="D95" s="48" t="n">
        <x:v>6</x:v>
      </x:c>
      <x:c r="E95" s="48" t="n">
        <x:v>1</x:v>
      </x:c>
      <x:c r="F95" s="48" t="str">
        <x:v>Bronx</x:v>
      </x:c>
      <x:c r="G95" s="48" t="str">
        <x:v>Throgs Neck and Co-op City (CD10)</x:v>
      </x:c>
      <x:c r="H95" s="48" t="str">
        <x:v>Throgs Neck and Co-op City (CD10)  Bronx</x:v>
      </x:c>
      <x:c r="I95" s="49" t="n">
        <x:v>6.3</x:v>
      </x:c>
      <x:c r="J95" s="49" t="n">
        <x:v>8</x:v>
      </x:c>
      <x:c r="K95" s="49" t="n">
        <x:v>6.3</x:v>
      </x:c>
    </x:row>
    <x:row r="96">
      <x:c r="A96" s="48" t="n">
        <x:v>2025</x:v>
      </x:c>
      <x:c r="B96" s="48" t="str">
        <x:v>Community District</x:v>
      </x:c>
      <x:c r="C96" s="48" t="n">
        <x:v>211</x:v>
      </x:c>
      <x:c r="D96" s="48" t="n">
        <x:v>6</x:v>
      </x:c>
      <x:c r="E96" s="48" t="n">
        <x:v>1</x:v>
      </x:c>
      <x:c r="F96" s="48" t="str">
        <x:v>Bronx</x:v>
      </x:c>
      <x:c r="G96" s="48" t="str">
        <x:v>Morris Park and Bronxdale (CD11)</x:v>
      </x:c>
      <x:c r="H96" s="48" t="str">
        <x:v>Morris Park and Bronxdale (CD11)  Bronx</x:v>
      </x:c>
      <x:c r="I96" s="49" t="n">
        <x:v>6.5</x:v>
      </x:c>
      <x:c r="J96" s="49" t="n">
        <x:v>8.1</x:v>
      </x:c>
      <x:c r="K96" s="49" t="n">
        <x:v>6.4</x:v>
      </x:c>
    </x:row>
    <x:row r="97">
      <x:c r="A97" s="48" t="n">
        <x:v>2025</x:v>
      </x:c>
      <x:c r="B97" s="48" t="str">
        <x:v>Community District</x:v>
      </x:c>
      <x:c r="C97" s="48" t="n">
        <x:v>212</x:v>
      </x:c>
      <x:c r="D97" s="48" t="n">
        <x:v>6</x:v>
      </x:c>
      <x:c r="E97" s="48" t="n">
        <x:v>1</x:v>
      </x:c>
      <x:c r="F97" s="48" t="str">
        <x:v>Bronx</x:v>
      </x:c>
      <x:c r="G97" s="48" t="str">
        <x:v>Williamsbridge and Baychester (CD12)</x:v>
      </x:c>
      <x:c r="H97" s="48" t="str">
        <x:v>Williamsbridge and Baychester (CD12)  Bronx</x:v>
      </x:c>
      <x:c r="I97" s="49" t="n">
        <x:v>6.4</x:v>
      </x:c>
      <x:c r="J97" s="49" t="n">
        <x:v>8.1</x:v>
      </x:c>
      <x:c r="K97" s="49" t="n">
        <x:v>6.3</x:v>
      </x:c>
    </x:row>
    <x:row r="98">
      <x:c r="A98" s="48" t="n">
        <x:v>2025</x:v>
      </x:c>
      <x:c r="B98" s="48" t="str">
        <x:v>Community District</x:v>
      </x:c>
      <x:c r="C98" s="48" t="n">
        <x:v>301</x:v>
      </x:c>
      <x:c r="D98" s="48" t="n">
        <x:v>6</x:v>
      </x:c>
      <x:c r="E98" s="48" t="n">
        <x:v>2</x:v>
      </x:c>
      <x:c r="F98" s="48" t="str">
        <x:v>Brooklyn</x:v>
      </x:c>
      <x:c r="G98" s="48" t="str">
        <x:v>Greenpoint and Williamsburg (CD1)</x:v>
      </x:c>
      <x:c r="H98" s="48" t="str">
        <x:v>Greenpoint and Williamsburg (CD1)  Brooklyn</x:v>
      </x:c>
      <x:c r="I98" s="49" t="n">
        <x:v>7.2</x:v>
      </x:c>
      <x:c r="J98" s="49" t="n">
        <x:v>8.7</x:v>
      </x:c>
      <x:c r="K98" s="49" t="n">
        <x:v>7.5</x:v>
      </x:c>
    </x:row>
    <x:row r="99">
      <x:c r="A99" s="48" t="n">
        <x:v>2025</x:v>
      </x:c>
      <x:c r="B99" s="48" t="str">
        <x:v>Community District</x:v>
      </x:c>
      <x:c r="C99" s="48" t="n">
        <x:v>302</x:v>
      </x:c>
      <x:c r="D99" s="48" t="n">
        <x:v>6</x:v>
      </x:c>
      <x:c r="E99" s="48" t="n">
        <x:v>2</x:v>
      </x:c>
      <x:c r="F99" s="48" t="str">
        <x:v>Brooklyn</x:v>
      </x:c>
      <x:c r="G99" s="48" t="str">
        <x:v>Fort Greene and Brooklyn Heights (CD2)</x:v>
      </x:c>
      <x:c r="H99" s="48" t="str">
        <x:v>Fort Greene and Brooklyn Heights (CD2)  Brooklyn</x:v>
      </x:c>
      <x:c r="I99" s="49" t="n">
        <x:v>6.8</x:v>
      </x:c>
      <x:c r="J99" s="49" t="n">
        <x:v>8.5</x:v>
      </x:c>
      <x:c r="K99" s="49" t="n">
        <x:v>6.9</x:v>
      </x:c>
    </x:row>
    <x:row r="100">
      <x:c r="A100" s="48" t="n">
        <x:v>2025</x:v>
      </x:c>
      <x:c r="B100" s="48" t="str">
        <x:v>Community District</x:v>
      </x:c>
      <x:c r="C100" s="48" t="n">
        <x:v>303</x:v>
      </x:c>
      <x:c r="D100" s="48" t="n">
        <x:v>6</x:v>
      </x:c>
      <x:c r="E100" s="48" t="n">
        <x:v>2</x:v>
      </x:c>
      <x:c r="F100" s="48" t="str">
        <x:v>Brooklyn</x:v>
      </x:c>
      <x:c r="G100" s="48" t="str">
        <x:v>Bedford Stuyvesant (CD3)</x:v>
      </x:c>
      <x:c r="H100" s="48" t="str">
        <x:v>Bedford Stuyvesant (CD3)  Brooklyn</x:v>
      </x:c>
      <x:c r="I100" s="49" t="n">
        <x:v>6.5</x:v>
      </x:c>
      <x:c r="J100" s="49" t="n">
        <x:v>8.3</x:v>
      </x:c>
      <x:c r="K100" s="49" t="n">
        <x:v>6.6</x:v>
      </x:c>
    </x:row>
    <x:row r="101">
      <x:c r="A101" s="48" t="n">
        <x:v>2025</x:v>
      </x:c>
      <x:c r="B101" s="48" t="str">
        <x:v>Community District</x:v>
      </x:c>
      <x:c r="C101" s="48" t="n">
        <x:v>304</x:v>
      </x:c>
      <x:c r="D101" s="48" t="n">
        <x:v>6</x:v>
      </x:c>
      <x:c r="E101" s="48" t="n">
        <x:v>2</x:v>
      </x:c>
      <x:c r="F101" s="48" t="str">
        <x:v>Brooklyn</x:v>
      </x:c>
      <x:c r="G101" s="48" t="str">
        <x:v>Bushwick (CD4)</x:v>
      </x:c>
      <x:c r="H101" s="48" t="str">
        <x:v>Bushwick (CD4)  Brooklyn</x:v>
      </x:c>
      <x:c r="I101" s="49" t="n">
        <x:v>6.7</x:v>
      </x:c>
      <x:c r="J101" s="49" t="n">
        <x:v>8.4</x:v>
      </x:c>
      <x:c r="K101" s="49" t="n">
        <x:v>6.8</x:v>
      </x:c>
    </x:row>
    <x:row r="102">
      <x:c r="A102" s="48" t="n">
        <x:v>2025</x:v>
      </x:c>
      <x:c r="B102" s="48" t="str">
        <x:v>Community District</x:v>
      </x:c>
      <x:c r="C102" s="48" t="n">
        <x:v>305</x:v>
      </x:c>
      <x:c r="D102" s="48" t="n">
        <x:v>6</x:v>
      </x:c>
      <x:c r="E102" s="48" t="n">
        <x:v>2</x:v>
      </x:c>
      <x:c r="F102" s="48" t="str">
        <x:v>Brooklyn</x:v>
      </x:c>
      <x:c r="G102" s="48" t="str">
        <x:v>East New York and Starrett City (CD5)</x:v>
      </x:c>
      <x:c r="H102" s="48" t="str">
        <x:v>East New York and Starrett City (CD5)  Brooklyn</x:v>
      </x:c>
      <x:c r="I102" s="49" t="n">
        <x:v>6.2</x:v>
      </x:c>
      <x:c r="J102" s="49" t="n">
        <x:v>8</x:v>
      </x:c>
      <x:c r="K102" s="49" t="n">
        <x:v>6.3</x:v>
      </x:c>
    </x:row>
    <x:row r="103">
      <x:c r="A103" s="48" t="n">
        <x:v>2025</x:v>
      </x:c>
      <x:c r="B103" s="48" t="str">
        <x:v>Community District</x:v>
      </x:c>
      <x:c r="C103" s="48" t="n">
        <x:v>306</x:v>
      </x:c>
      <x:c r="D103" s="48" t="n">
        <x:v>6</x:v>
      </x:c>
      <x:c r="E103" s="48" t="n">
        <x:v>2</x:v>
      </x:c>
      <x:c r="F103" s="48" t="str">
        <x:v>Brooklyn</x:v>
      </x:c>
      <x:c r="G103" s="48" t="str">
        <x:v>Park Slope and Carroll Gardens (CD6)</x:v>
      </x:c>
      <x:c r="H103" s="48" t="str">
        <x:v>Park Slope and Carroll Gardens (CD6)  Brooklyn</x:v>
      </x:c>
      <x:c r="I103" s="49" t="n">
        <x:v>6.8</x:v>
      </x:c>
      <x:c r="J103" s="49" t="n">
        <x:v>8.5</x:v>
      </x:c>
      <x:c r="K103" s="49" t="n">
        <x:v>7</x:v>
      </x:c>
    </x:row>
    <x:row r="104">
      <x:c r="A104" s="48" t="n">
        <x:v>2025</x:v>
      </x:c>
      <x:c r="B104" s="48" t="str">
        <x:v>Community District</x:v>
      </x:c>
      <x:c r="C104" s="48" t="n">
        <x:v>307</x:v>
      </x:c>
      <x:c r="D104" s="48" t="n">
        <x:v>6</x:v>
      </x:c>
      <x:c r="E104" s="48" t="n">
        <x:v>2</x:v>
      </x:c>
      <x:c r="F104" s="48" t="str">
        <x:v>Brooklyn</x:v>
      </x:c>
      <x:c r="G104" s="48" t="str">
        <x:v>Sunset Park (CD7)</x:v>
      </x:c>
      <x:c r="H104" s="48" t="str">
        <x:v>Sunset Park (CD7)  Brooklyn</x:v>
      </x:c>
      <x:c r="I104" s="49" t="n">
        <x:v>6.7</x:v>
      </x:c>
      <x:c r="J104" s="49" t="n">
        <x:v>8.4</x:v>
      </x:c>
      <x:c r="K104" s="49" t="n">
        <x:v>7</x:v>
      </x:c>
    </x:row>
    <x:row r="105">
      <x:c r="A105" s="48" t="n">
        <x:v>2025</x:v>
      </x:c>
      <x:c r="B105" s="48" t="str">
        <x:v>Community District</x:v>
      </x:c>
      <x:c r="C105" s="48" t="n">
        <x:v>308</x:v>
      </x:c>
      <x:c r="D105" s="48" t="n">
        <x:v>6</x:v>
      </x:c>
      <x:c r="E105" s="48" t="n">
        <x:v>2</x:v>
      </x:c>
      <x:c r="F105" s="48" t="str">
        <x:v>Brooklyn</x:v>
      </x:c>
      <x:c r="G105" s="48" t="str">
        <x:v>Crown Heights and Prospect Heights (CD8)</x:v>
      </x:c>
      <x:c r="H105" s="48" t="str">
        <x:v>Crown Heights and Prospect Heights (CD8)  Brooklyn</x:v>
      </x:c>
      <x:c r="I105" s="49" t="n">
        <x:v>6.5</x:v>
      </x:c>
      <x:c r="J105" s="49" t="n">
        <x:v>8.3</x:v>
      </x:c>
      <x:c r="K105" s="49" t="n">
        <x:v>6.5</x:v>
      </x:c>
    </x:row>
    <x:row r="106">
      <x:c r="A106" s="48" t="n">
        <x:v>2025</x:v>
      </x:c>
      <x:c r="B106" s="48" t="str">
        <x:v>Community District</x:v>
      </x:c>
      <x:c r="C106" s="48" t="n">
        <x:v>309</x:v>
      </x:c>
      <x:c r="D106" s="48" t="n">
        <x:v>6</x:v>
      </x:c>
      <x:c r="E106" s="48" t="n">
        <x:v>2</x:v>
      </x:c>
      <x:c r="F106" s="48" t="str">
        <x:v>Brooklyn</x:v>
      </x:c>
      <x:c r="G106" s="48" t="str">
        <x:v>South Crown Heights and Lefferts Gardens (CD9)</x:v>
      </x:c>
      <x:c r="H106" s="48" t="str">
        <x:v>South Crown Heights and Lefferts Gardens (CD9)  Brooklyn</x:v>
      </x:c>
      <x:c r="I106" s="49" t="n">
        <x:v>6.2</x:v>
      </x:c>
      <x:c r="J106" s="49" t="n">
        <x:v>8.1</x:v>
      </x:c>
      <x:c r="K106" s="49" t="n">
        <x:v>6.3</x:v>
      </x:c>
    </x:row>
    <x:row r="107">
      <x:c r="A107" s="48" t="n">
        <x:v>2025</x:v>
      </x:c>
      <x:c r="B107" s="48" t="str">
        <x:v>Community District</x:v>
      </x:c>
      <x:c r="C107" s="48" t="n">
        <x:v>310</x:v>
      </x:c>
      <x:c r="D107" s="48" t="n">
        <x:v>6</x:v>
      </x:c>
      <x:c r="E107" s="48" t="n">
        <x:v>2</x:v>
      </x:c>
      <x:c r="F107" s="48" t="str">
        <x:v>Brooklyn</x:v>
      </x:c>
      <x:c r="G107" s="48" t="str">
        <x:v>Bay Ridge and Dyker Heights (CD10)</x:v>
      </x:c>
      <x:c r="H107" s="48" t="str">
        <x:v>Bay Ridge and Dyker Heights (CD10)  Brooklyn</x:v>
      </x:c>
      <x:c r="I107" s="49" t="n">
        <x:v>6.2</x:v>
      </x:c>
      <x:c r="J107" s="49" t="n">
        <x:v>8</x:v>
      </x:c>
      <x:c r="K107" s="49" t="n">
        <x:v>6.3</x:v>
      </x:c>
    </x:row>
    <x:row r="108">
      <x:c r="A108" s="48" t="n">
        <x:v>2025</x:v>
      </x:c>
      <x:c r="B108" s="48" t="str">
        <x:v>Community District</x:v>
      </x:c>
      <x:c r="C108" s="48" t="n">
        <x:v>311</x:v>
      </x:c>
      <x:c r="D108" s="48" t="n">
        <x:v>6</x:v>
      </x:c>
      <x:c r="E108" s="48" t="n">
        <x:v>2</x:v>
      </x:c>
      <x:c r="F108" s="48" t="str">
        <x:v>Brooklyn</x:v>
      </x:c>
      <x:c r="G108" s="48" t="str">
        <x:v>Bensonhurst (CD11)</x:v>
      </x:c>
      <x:c r="H108" s="48" t="str">
        <x:v>Bensonhurst (CD11)  Brooklyn</x:v>
      </x:c>
      <x:c r="I108" s="49" t="n">
        <x:v>6.1</x:v>
      </x:c>
      <x:c r="J108" s="49" t="n">
        <x:v>7.9</x:v>
      </x:c>
      <x:c r="K108" s="49" t="n">
        <x:v>6.1</x:v>
      </x:c>
    </x:row>
    <x:row r="109">
      <x:c r="A109" s="48" t="n">
        <x:v>2025</x:v>
      </x:c>
      <x:c r="B109" s="48" t="str">
        <x:v>Community District</x:v>
      </x:c>
      <x:c r="C109" s="48" t="n">
        <x:v>312</x:v>
      </x:c>
      <x:c r="D109" s="48" t="n">
        <x:v>6</x:v>
      </x:c>
      <x:c r="E109" s="48" t="n">
        <x:v>2</x:v>
      </x:c>
      <x:c r="F109" s="48" t="str">
        <x:v>Brooklyn</x:v>
      </x:c>
      <x:c r="G109" s="48" t="str">
        <x:v>Borough Park (CD12)</x:v>
      </x:c>
      <x:c r="H109" s="48" t="str">
        <x:v>Borough Park (CD12)  Brooklyn</x:v>
      </x:c>
      <x:c r="I109" s="49" t="n">
        <x:v>6.2</x:v>
      </x:c>
      <x:c r="J109" s="49" t="n">
        <x:v>8</x:v>
      </x:c>
      <x:c r="K109" s="49" t="n">
        <x:v>6.2</x:v>
      </x:c>
    </x:row>
    <x:row r="110">
      <x:c r="A110" s="48" t="n">
        <x:v>2025</x:v>
      </x:c>
      <x:c r="B110" s="48" t="str">
        <x:v>Community District</x:v>
      </x:c>
      <x:c r="C110" s="48" t="n">
        <x:v>313</x:v>
      </x:c>
      <x:c r="D110" s="48" t="n">
        <x:v>6</x:v>
      </x:c>
      <x:c r="E110" s="48" t="n">
        <x:v>2</x:v>
      </x:c>
      <x:c r="F110" s="48" t="str">
        <x:v>Brooklyn</x:v>
      </x:c>
      <x:c r="G110" s="48" t="str">
        <x:v>Coney Island (CD13)</x:v>
      </x:c>
      <x:c r="H110" s="48" t="str">
        <x:v>Coney Island (CD13)  Brooklyn</x:v>
      </x:c>
      <x:c r="I110" s="49" t="n">
        <x:v>6</x:v>
      </x:c>
      <x:c r="J110" s="49" t="n">
        <x:v>7.9</x:v>
      </x:c>
      <x:c r="K110" s="49" t="n">
        <x:v>6</x:v>
      </x:c>
    </x:row>
    <x:row r="111">
      <x:c r="A111" s="48" t="n">
        <x:v>2025</x:v>
      </x:c>
      <x:c r="B111" s="48" t="str">
        <x:v>Community District</x:v>
      </x:c>
      <x:c r="C111" s="48" t="n">
        <x:v>314</x:v>
      </x:c>
      <x:c r="D111" s="48" t="n">
        <x:v>6</x:v>
      </x:c>
      <x:c r="E111" s="48" t="n">
        <x:v>2</x:v>
      </x:c>
      <x:c r="F111" s="48" t="str">
        <x:v>Brooklyn</x:v>
      </x:c>
      <x:c r="G111" s="48" t="str">
        <x:v>Flatbush and Midwood (CD14)</x:v>
      </x:c>
      <x:c r="H111" s="48" t="str">
        <x:v>Flatbush and Midwood (CD14)  Brooklyn</x:v>
      </x:c>
      <x:c r="I111" s="49" t="n">
        <x:v>6.1</x:v>
      </x:c>
      <x:c r="J111" s="49" t="n">
        <x:v>8</x:v>
      </x:c>
      <x:c r="K111" s="49" t="n">
        <x:v>6.2</x:v>
      </x:c>
    </x:row>
    <x:row r="112">
      <x:c r="A112" s="48" t="n">
        <x:v>2025</x:v>
      </x:c>
      <x:c r="B112" s="48" t="str">
        <x:v>Community District</x:v>
      </x:c>
      <x:c r="C112" s="48" t="n">
        <x:v>315</x:v>
      </x:c>
      <x:c r="D112" s="48" t="n">
        <x:v>6</x:v>
      </x:c>
      <x:c r="E112" s="48" t="n">
        <x:v>2</x:v>
      </x:c>
      <x:c r="F112" s="48" t="str">
        <x:v>Brooklyn</x:v>
      </x:c>
      <x:c r="G112" s="48" t="str">
        <x:v>Sheepshead Bay (CD15)</x:v>
      </x:c>
      <x:c r="H112" s="48" t="str">
        <x:v>Sheepshead Bay (CD15)  Brooklyn</x:v>
      </x:c>
      <x:c r="I112" s="49" t="n">
        <x:v>6</x:v>
      </x:c>
      <x:c r="J112" s="49" t="n">
        <x:v>7.9</x:v>
      </x:c>
      <x:c r="K112" s="49" t="n">
        <x:v>6</x:v>
      </x:c>
    </x:row>
    <x:row r="113">
      <x:c r="A113" s="48" t="n">
        <x:v>2025</x:v>
      </x:c>
      <x:c r="B113" s="48" t="str">
        <x:v>Community District</x:v>
      </x:c>
      <x:c r="C113" s="48" t="n">
        <x:v>316</x:v>
      </x:c>
      <x:c r="D113" s="48" t="n">
        <x:v>6</x:v>
      </x:c>
      <x:c r="E113" s="48" t="n">
        <x:v>2</x:v>
      </x:c>
      <x:c r="F113" s="48" t="str">
        <x:v>Brooklyn</x:v>
      </x:c>
      <x:c r="G113" s="48" t="str">
        <x:v>Brownsville (CD16)</x:v>
      </x:c>
      <x:c r="H113" s="48" t="str">
        <x:v>Brownsville (CD16)  Brooklyn</x:v>
      </x:c>
      <x:c r="I113" s="49" t="n">
        <x:v>6.2</x:v>
      </x:c>
      <x:c r="J113" s="49" t="n">
        <x:v>8</x:v>
      </x:c>
      <x:c r="K113" s="49" t="n">
        <x:v>6.3</x:v>
      </x:c>
    </x:row>
    <x:row r="114">
      <x:c r="A114" s="48" t="n">
        <x:v>2025</x:v>
      </x:c>
      <x:c r="B114" s="48" t="str">
        <x:v>Community District</x:v>
      </x:c>
      <x:c r="C114" s="48" t="n">
        <x:v>317</x:v>
      </x:c>
      <x:c r="D114" s="48" t="n">
        <x:v>6</x:v>
      </x:c>
      <x:c r="E114" s="48" t="n">
        <x:v>2</x:v>
      </x:c>
      <x:c r="F114" s="48" t="str">
        <x:v>Brooklyn</x:v>
      </x:c>
      <x:c r="G114" s="48" t="str">
        <x:v>East Flatbush (CD17)</x:v>
      </x:c>
      <x:c r="H114" s="48" t="str">
        <x:v>East Flatbush (CD17)  Brooklyn</x:v>
      </x:c>
      <x:c r="I114" s="49" t="n">
        <x:v>6.2</x:v>
      </x:c>
      <x:c r="J114" s="49" t="n">
        <x:v>8</x:v>
      </x:c>
      <x:c r="K114" s="49" t="n">
        <x:v>6.2</x:v>
      </x:c>
    </x:row>
    <x:row r="115">
      <x:c r="A115" s="48" t="n">
        <x:v>2025</x:v>
      </x:c>
      <x:c r="B115" s="48" t="str">
        <x:v>Community District</x:v>
      </x:c>
      <x:c r="C115" s="48" t="n">
        <x:v>318</x:v>
      </x:c>
      <x:c r="D115" s="48" t="n">
        <x:v>6</x:v>
      </x:c>
      <x:c r="E115" s="48" t="n">
        <x:v>2</x:v>
      </x:c>
      <x:c r="F115" s="48" t="str">
        <x:v>Brooklyn</x:v>
      </x:c>
      <x:c r="G115" s="48" t="str">
        <x:v>Flatlands and Canarsie (CD18)</x:v>
      </x:c>
      <x:c r="H115" s="48" t="str">
        <x:v>Flatlands and Canarsie (CD18)  Brooklyn</x:v>
      </x:c>
      <x:c r="I115" s="49" t="n">
        <x:v>6</x:v>
      </x:c>
      <x:c r="J115" s="49" t="n">
        <x:v>7.8</x:v>
      </x:c>
      <x:c r="K115" s="49" t="n">
        <x:v>6</x:v>
      </x:c>
    </x:row>
    <x:row r="116">
      <x:c r="A116" s="48" t="n">
        <x:v>2025</x:v>
      </x:c>
      <x:c r="B116" s="48" t="str">
        <x:v>Community District</x:v>
      </x:c>
      <x:c r="C116" s="48" t="n">
        <x:v>101</x:v>
      </x:c>
      <x:c r="D116" s="48" t="n">
        <x:v>6</x:v>
      </x:c>
      <x:c r="E116" s="48" t="n">
        <x:v>3</x:v>
      </x:c>
      <x:c r="F116" s="48" t="str">
        <x:v>Manhattan</x:v>
      </x:c>
      <x:c r="G116" s="48" t="str">
        <x:v>Financial District (CD1)</x:v>
      </x:c>
      <x:c r="H116" s="48" t="str">
        <x:v>Financial District (CD1)  Manhattan</x:v>
      </x:c>
      <x:c r="I116" s="49" t="n">
        <x:v>7.5</x:v>
      </x:c>
      <x:c r="J116" s="49" t="n">
        <x:v>9.2</x:v>
      </x:c>
      <x:c r="K116" s="49" t="n">
        <x:v>7.8</x:v>
      </x:c>
    </x:row>
    <x:row r="117">
      <x:c r="A117" s="48" t="n">
        <x:v>2025</x:v>
      </x:c>
      <x:c r="B117" s="48" t="str">
        <x:v>Community District</x:v>
      </x:c>
      <x:c r="C117" s="48" t="n">
        <x:v>102</x:v>
      </x:c>
      <x:c r="D117" s="48" t="n">
        <x:v>6</x:v>
      </x:c>
      <x:c r="E117" s="48" t="n">
        <x:v>3</x:v>
      </x:c>
      <x:c r="F117" s="48" t="str">
        <x:v>Manhattan</x:v>
      </x:c>
      <x:c r="G117" s="48" t="str">
        <x:v>Greenwich Village and Soho (CD2)</x:v>
      </x:c>
      <x:c r="H117" s="48" t="str">
        <x:v>Greenwich Village and Soho (CD2)  Manhattan</x:v>
      </x:c>
      <x:c r="I117" s="49" t="n">
        <x:v>8.8</x:v>
      </x:c>
      <x:c r="J117" s="49" t="n">
        <x:v>10.3</x:v>
      </x:c>
      <x:c r="K117" s="49" t="n">
        <x:v>9.2</x:v>
      </x:c>
    </x:row>
    <x:row r="118">
      <x:c r="A118" s="48" t="n">
        <x:v>2025</x:v>
      </x:c>
      <x:c r="B118" s="48" t="str">
        <x:v>Community District</x:v>
      </x:c>
      <x:c r="C118" s="48" t="n">
        <x:v>103</x:v>
      </x:c>
      <x:c r="D118" s="48" t="n">
        <x:v>6</x:v>
      </x:c>
      <x:c r="E118" s="48" t="n">
        <x:v>3</x:v>
      </x:c>
      <x:c r="F118" s="48" t="str">
        <x:v>Manhattan</x:v>
      </x:c>
      <x:c r="G118" s="48" t="str">
        <x:v>Lower East Side and Chinatown (CD3)</x:v>
      </x:c>
      <x:c r="H118" s="48" t="str">
        <x:v>Lower East Side and Chinatown (CD3)  Manhattan</x:v>
      </x:c>
      <x:c r="I118" s="49" t="n">
        <x:v>7.6</x:v>
      </x:c>
      <x:c r="J118" s="49" t="n">
        <x:v>9.3</x:v>
      </x:c>
      <x:c r="K118" s="49" t="n">
        <x:v>7.9</x:v>
      </x:c>
    </x:row>
    <x:row r="119">
      <x:c r="A119" s="48" t="n">
        <x:v>2025</x:v>
      </x:c>
      <x:c r="B119" s="48" t="str">
        <x:v>Community District</x:v>
      </x:c>
      <x:c r="C119" s="48" t="n">
        <x:v>104</x:v>
      </x:c>
      <x:c r="D119" s="48" t="n">
        <x:v>6</x:v>
      </x:c>
      <x:c r="E119" s="48" t="n">
        <x:v>3</x:v>
      </x:c>
      <x:c r="F119" s="48" t="str">
        <x:v>Manhattan</x:v>
      </x:c>
      <x:c r="G119" s="48" t="str">
        <x:v>Clinton and Chelsea (CD4)</x:v>
      </x:c>
      <x:c r="H119" s="48" t="str">
        <x:v>Clinton and Chelsea (CD4)  Manhattan</x:v>
      </x:c>
      <x:c r="I119" s="49" t="n">
        <x:v>8.1</x:v>
      </x:c>
      <x:c r="J119" s="49" t="n">
        <x:v>9.6</x:v>
      </x:c>
      <x:c r="K119" s="49" t="n">
        <x:v>8.4</x:v>
      </x:c>
    </x:row>
    <x:row r="120">
      <x:c r="A120" s="48" t="n">
        <x:v>2025</x:v>
      </x:c>
      <x:c r="B120" s="48" t="str">
        <x:v>Community District</x:v>
      </x:c>
      <x:c r="C120" s="48" t="n">
        <x:v>105</x:v>
      </x:c>
      <x:c r="D120" s="48" t="n">
        <x:v>6</x:v>
      </x:c>
      <x:c r="E120" s="48" t="n">
        <x:v>3</x:v>
      </x:c>
      <x:c r="F120" s="48" t="str">
        <x:v>Manhattan</x:v>
      </x:c>
      <x:c r="G120" s="48" t="str">
        <x:v>Midtown (CD5)</x:v>
      </x:c>
      <x:c r="H120" s="48" t="str">
        <x:v>Midtown (CD5)  Manhattan</x:v>
      </x:c>
      <x:c r="I120" s="49" t="n">
        <x:v>9.7</x:v>
      </x:c>
      <x:c r="J120" s="49" t="n">
        <x:v>11</x:v>
      </x:c>
      <x:c r="K120" s="49" t="n">
        <x:v>10.3</x:v>
      </x:c>
    </x:row>
    <x:row r="121">
      <x:c r="A121" s="48" t="n">
        <x:v>2025</x:v>
      </x:c>
      <x:c r="B121" s="48" t="str">
        <x:v>Community District</x:v>
      </x:c>
      <x:c r="C121" s="48" t="n">
        <x:v>106</x:v>
      </x:c>
      <x:c r="D121" s="48" t="n">
        <x:v>6</x:v>
      </x:c>
      <x:c r="E121" s="48" t="n">
        <x:v>3</x:v>
      </x:c>
      <x:c r="F121" s="48" t="str">
        <x:v>Manhattan</x:v>
      </x:c>
      <x:c r="G121" s="48" t="str">
        <x:v>Stuyvesant Town and Turtle Bay (CD6)</x:v>
      </x:c>
      <x:c r="H121" s="48" t="str">
        <x:v>Stuyvesant Town and Turtle Bay (CD6)  Manhattan</x:v>
      </x:c>
      <x:c r="I121" s="49" t="n">
        <x:v>7.9</x:v>
      </x:c>
      <x:c r="J121" s="49" t="n">
        <x:v>9.5</x:v>
      </x:c>
      <x:c r="K121" s="49" t="n">
        <x:v>8.2</x:v>
      </x:c>
    </x:row>
    <x:row r="122">
      <x:c r="A122" s="48" t="n">
        <x:v>2025</x:v>
      </x:c>
      <x:c r="B122" s="48" t="str">
        <x:v>Community District</x:v>
      </x:c>
      <x:c r="C122" s="48" t="n">
        <x:v>107</x:v>
      </x:c>
      <x:c r="D122" s="48" t="n">
        <x:v>6</x:v>
      </x:c>
      <x:c r="E122" s="48" t="n">
        <x:v>3</x:v>
      </x:c>
      <x:c r="F122" s="48" t="str">
        <x:v>Manhattan</x:v>
      </x:c>
      <x:c r="G122" s="48" t="str">
        <x:v>Upper West Side (CD7)</x:v>
      </x:c>
      <x:c r="H122" s="48" t="str">
        <x:v>Upper West Side (CD7)  Manhattan</x:v>
      </x:c>
      <x:c r="I122" s="49" t="n">
        <x:v>6.5</x:v>
      </x:c>
      <x:c r="J122" s="49" t="n">
        <x:v>8.3</x:v>
      </x:c>
      <x:c r="K122" s="49" t="n">
        <x:v>6.6</x:v>
      </x:c>
    </x:row>
    <x:row r="123">
      <x:c r="A123" s="48" t="n">
        <x:v>2025</x:v>
      </x:c>
      <x:c r="B123" s="48" t="str">
        <x:v>Community District</x:v>
      </x:c>
      <x:c r="C123" s="48" t="n">
        <x:v>108</x:v>
      </x:c>
      <x:c r="D123" s="48" t="n">
        <x:v>6</x:v>
      </x:c>
      <x:c r="E123" s="48" t="n">
        <x:v>3</x:v>
      </x:c>
      <x:c r="F123" s="48" t="str">
        <x:v>Manhattan</x:v>
      </x:c>
      <x:c r="G123" s="48" t="str">
        <x:v>Upper East Side (CD8)</x:v>
      </x:c>
      <x:c r="H123" s="48" t="str">
        <x:v>Upper East Side (CD8)  Manhattan</x:v>
      </x:c>
      <x:c r="I123" s="49" t="n">
        <x:v>6.8</x:v>
      </x:c>
      <x:c r="J123" s="49" t="n">
        <x:v>8.5</x:v>
      </x:c>
      <x:c r="K123" s="49" t="n">
        <x:v>6.9</x:v>
      </x:c>
    </x:row>
    <x:row r="124">
      <x:c r="A124" s="48" t="n">
        <x:v>2025</x:v>
      </x:c>
      <x:c r="B124" s="48" t="str">
        <x:v>Community District</x:v>
      </x:c>
      <x:c r="C124" s="48" t="n">
        <x:v>109</x:v>
      </x:c>
      <x:c r="D124" s="48" t="n">
        <x:v>6</x:v>
      </x:c>
      <x:c r="E124" s="48" t="n">
        <x:v>3</x:v>
      </x:c>
      <x:c r="F124" s="48" t="str">
        <x:v>Manhattan</x:v>
      </x:c>
      <x:c r="G124" s="48" t="str">
        <x:v>Morningside Heights and Hamilton Heights (CD9)</x:v>
      </x:c>
      <x:c r="H124" s="48" t="str">
        <x:v>Morningside Heights and Hamilton Heights (CD9)  Manhattan</x:v>
      </x:c>
      <x:c r="I124" s="49" t="n">
        <x:v>6.6</x:v>
      </x:c>
      <x:c r="J124" s="49" t="n">
        <x:v>8.3</x:v>
      </x:c>
      <x:c r="K124" s="49" t="n">
        <x:v>6.7</x:v>
      </x:c>
    </x:row>
    <x:row r="125">
      <x:c r="A125" s="48" t="n">
        <x:v>2025</x:v>
      </x:c>
      <x:c r="B125" s="48" t="str">
        <x:v>Community District</x:v>
      </x:c>
      <x:c r="C125" s="48" t="n">
        <x:v>110</x:v>
      </x:c>
      <x:c r="D125" s="48" t="n">
        <x:v>6</x:v>
      </x:c>
      <x:c r="E125" s="48" t="n">
        <x:v>3</x:v>
      </x:c>
      <x:c r="F125" s="48" t="str">
        <x:v>Manhattan</x:v>
      </x:c>
      <x:c r="G125" s="48" t="str">
        <x:v>Central Harlem (CD10)</x:v>
      </x:c>
      <x:c r="H125" s="48" t="str">
        <x:v>Central Harlem (CD10)  Manhattan</x:v>
      </x:c>
      <x:c r="I125" s="49" t="n">
        <x:v>6.7</x:v>
      </x:c>
      <x:c r="J125" s="49" t="n">
        <x:v>8.4</x:v>
      </x:c>
      <x:c r="K125" s="49" t="n">
        <x:v>6.7</x:v>
      </x:c>
    </x:row>
    <x:row r="126">
      <x:c r="A126" s="48" t="n">
        <x:v>2025</x:v>
      </x:c>
      <x:c r="B126" s="48" t="str">
        <x:v>Community District</x:v>
      </x:c>
      <x:c r="C126" s="48" t="n">
        <x:v>111</x:v>
      </x:c>
      <x:c r="D126" s="48" t="n">
        <x:v>6</x:v>
      </x:c>
      <x:c r="E126" s="48" t="n">
        <x:v>3</x:v>
      </x:c>
      <x:c r="F126" s="48" t="str">
        <x:v>Manhattan</x:v>
      </x:c>
      <x:c r="G126" s="48" t="str">
        <x:v>East Harlem (CD11)</x:v>
      </x:c>
      <x:c r="H126" s="48" t="str">
        <x:v>East Harlem (CD11)  Manhattan</x:v>
      </x:c>
      <x:c r="I126" s="49" t="n">
        <x:v>6.5</x:v>
      </x:c>
      <x:c r="J126" s="49" t="n">
        <x:v>8.2</x:v>
      </x:c>
      <x:c r="K126" s="49" t="n">
        <x:v>6.6</x:v>
      </x:c>
    </x:row>
    <x:row r="127">
      <x:c r="A127" s="48" t="n">
        <x:v>2025</x:v>
      </x:c>
      <x:c r="B127" s="48" t="str">
        <x:v>Community District</x:v>
      </x:c>
      <x:c r="C127" s="48" t="n">
        <x:v>112</x:v>
      </x:c>
      <x:c r="D127" s="48" t="n">
        <x:v>6</x:v>
      </x:c>
      <x:c r="E127" s="48" t="n">
        <x:v>3</x:v>
      </x:c>
      <x:c r="F127" s="48" t="str">
        <x:v>Manhattan</x:v>
      </x:c>
      <x:c r="G127" s="48" t="str">
        <x:v>Washington Heights and Inwood (CD12)</x:v>
      </x:c>
      <x:c r="H127" s="48" t="str">
        <x:v>Washington Heights and Inwood (CD12)  Manhattan</x:v>
      </x:c>
      <x:c r="I127" s="49" t="n">
        <x:v>6.5</x:v>
      </x:c>
      <x:c r="J127" s="49" t="n">
        <x:v>8.3</x:v>
      </x:c>
      <x:c r="K127" s="49" t="n">
        <x:v>6.6</x:v>
      </x:c>
    </x:row>
    <x:row r="128">
      <x:c r="A128" s="48" t="n">
        <x:v>2025</x:v>
      </x:c>
      <x:c r="B128" s="48" t="str">
        <x:v>Community District</x:v>
      </x:c>
      <x:c r="C128" s="48" t="n">
        <x:v>401</x:v>
      </x:c>
      <x:c r="D128" s="48" t="n">
        <x:v>6</x:v>
      </x:c>
      <x:c r="E128" s="48" t="n">
        <x:v>4</x:v>
      </x:c>
      <x:c r="F128" s="48" t="str">
        <x:v>Queens</x:v>
      </x:c>
      <x:c r="G128" s="48" t="str">
        <x:v>Long Island City and Astoria (CD1)</x:v>
      </x:c>
      <x:c r="H128" s="48" t="str">
        <x:v>Long Island City and Astoria (CD1)  Queens</x:v>
      </x:c>
      <x:c r="I128" s="49" t="n">
        <x:v>6.6</x:v>
      </x:c>
      <x:c r="J128" s="49" t="n">
        <x:v>8.3</x:v>
      </x:c>
      <x:c r="K128" s="49" t="n">
        <x:v>6.7</x:v>
      </x:c>
    </x:row>
    <x:row r="129">
      <x:c r="A129" s="48" t="n">
        <x:v>2025</x:v>
      </x:c>
      <x:c r="B129" s="48" t="str">
        <x:v>Community District</x:v>
      </x:c>
      <x:c r="C129" s="48" t="n">
        <x:v>402</x:v>
      </x:c>
      <x:c r="D129" s="48" t="n">
        <x:v>6</x:v>
      </x:c>
      <x:c r="E129" s="48" t="n">
        <x:v>4</x:v>
      </x:c>
      <x:c r="F129" s="48" t="str">
        <x:v>Queens</x:v>
      </x:c>
      <x:c r="G129" s="48" t="str">
        <x:v>Woodside and Sunnyside (CD2)</x:v>
      </x:c>
      <x:c r="H129" s="48" t="str">
        <x:v>Woodside and Sunnyside (CD2)  Queens</x:v>
      </x:c>
      <x:c r="I129" s="49" t="n">
        <x:v>7.3</x:v>
      </x:c>
      <x:c r="J129" s="49" t="n">
        <x:v>8.7</x:v>
      </x:c>
      <x:c r="K129" s="49" t="n">
        <x:v>7.7</x:v>
      </x:c>
    </x:row>
    <x:row r="130">
      <x:c r="A130" s="48" t="n">
        <x:v>2025</x:v>
      </x:c>
      <x:c r="B130" s="48" t="str">
        <x:v>Community District</x:v>
      </x:c>
      <x:c r="C130" s="48" t="n">
        <x:v>403</x:v>
      </x:c>
      <x:c r="D130" s="48" t="n">
        <x:v>6</x:v>
      </x:c>
      <x:c r="E130" s="48" t="n">
        <x:v>4</x:v>
      </x:c>
      <x:c r="F130" s="48" t="str">
        <x:v>Queens</x:v>
      </x:c>
      <x:c r="G130" s="48" t="str">
        <x:v>Jackson Heights (CD3)</x:v>
      </x:c>
      <x:c r="H130" s="48" t="str">
        <x:v>Jackson Heights (CD3)  Queens</x:v>
      </x:c>
      <x:c r="I130" s="49" t="n">
        <x:v>6.5</x:v>
      </x:c>
      <x:c r="J130" s="49" t="n">
        <x:v>8.2</x:v>
      </x:c>
      <x:c r="K130" s="49" t="n">
        <x:v>6.5</x:v>
      </x:c>
    </x:row>
    <x:row r="131">
      <x:c r="A131" s="48" t="n">
        <x:v>2025</x:v>
      </x:c>
      <x:c r="B131" s="48" t="str">
        <x:v>Community District</x:v>
      </x:c>
      <x:c r="C131" s="48" t="n">
        <x:v>404</x:v>
      </x:c>
      <x:c r="D131" s="48" t="n">
        <x:v>6</x:v>
      </x:c>
      <x:c r="E131" s="48" t="n">
        <x:v>4</x:v>
      </x:c>
      <x:c r="F131" s="48" t="str">
        <x:v>Queens</x:v>
      </x:c>
      <x:c r="G131" s="48" t="str">
        <x:v>Elmhurst and Corona (CD4)</x:v>
      </x:c>
      <x:c r="H131" s="48" t="str">
        <x:v>Elmhurst and Corona (CD4)  Queens</x:v>
      </x:c>
      <x:c r="I131" s="49" t="n">
        <x:v>6.5</x:v>
      </x:c>
      <x:c r="J131" s="49" t="n">
        <x:v>8.2</x:v>
      </x:c>
      <x:c r="K131" s="49" t="n">
        <x:v>6.5</x:v>
      </x:c>
    </x:row>
    <x:row r="132">
      <x:c r="A132" s="48" t="n">
        <x:v>2025</x:v>
      </x:c>
      <x:c r="B132" s="48" t="str">
        <x:v>Community District</x:v>
      </x:c>
      <x:c r="C132" s="48" t="n">
        <x:v>405</x:v>
      </x:c>
      <x:c r="D132" s="48" t="n">
        <x:v>6</x:v>
      </x:c>
      <x:c r="E132" s="48" t="n">
        <x:v>4</x:v>
      </x:c>
      <x:c r="F132" s="48" t="str">
        <x:v>Queens</x:v>
      </x:c>
      <x:c r="G132" s="48" t="str">
        <x:v>Ridgewood and Maspeth (CD5)</x:v>
      </x:c>
      <x:c r="H132" s="48" t="str">
        <x:v>Ridgewood and Maspeth (CD5)  Queens</x:v>
      </x:c>
      <x:c r="I132" s="49" t="n">
        <x:v>6.7</x:v>
      </x:c>
      <x:c r="J132" s="49" t="n">
        <x:v>8.3</x:v>
      </x:c>
      <x:c r="K132" s="49" t="n">
        <x:v>7</x:v>
      </x:c>
    </x:row>
    <x:row r="133">
      <x:c r="A133" s="48" t="n">
        <x:v>2025</x:v>
      </x:c>
      <x:c r="B133" s="48" t="str">
        <x:v>Community District</x:v>
      </x:c>
      <x:c r="C133" s="48" t="n">
        <x:v>406</x:v>
      </x:c>
      <x:c r="D133" s="48" t="n">
        <x:v>6</x:v>
      </x:c>
      <x:c r="E133" s="48" t="n">
        <x:v>4</x:v>
      </x:c>
      <x:c r="F133" s="48" t="str">
        <x:v>Queens</x:v>
      </x:c>
      <x:c r="G133" s="48" t="str">
        <x:v>Rego Park and Forest Hills (CD6)</x:v>
      </x:c>
      <x:c r="H133" s="48" t="str">
        <x:v>Rego Park and Forest Hills (CD6)  Queens</x:v>
      </x:c>
      <x:c r="I133" s="49" t="n">
        <x:v>6.2</x:v>
      </x:c>
      <x:c r="J133" s="49" t="n">
        <x:v>8</x:v>
      </x:c>
      <x:c r="K133" s="49" t="n">
        <x:v>6.2</x:v>
      </x:c>
    </x:row>
    <x:row r="134">
      <x:c r="A134" s="48" t="n">
        <x:v>2025</x:v>
      </x:c>
      <x:c r="B134" s="48" t="str">
        <x:v>Community District</x:v>
      </x:c>
      <x:c r="C134" s="48" t="n">
        <x:v>407</x:v>
      </x:c>
      <x:c r="D134" s="48" t="n">
        <x:v>6</x:v>
      </x:c>
      <x:c r="E134" s="48" t="n">
        <x:v>4</x:v>
      </x:c>
      <x:c r="F134" s="48" t="str">
        <x:v>Queens</x:v>
      </x:c>
      <x:c r="G134" s="48" t="str">
        <x:v>Flushing and Whitestone (CD7)</x:v>
      </x:c>
      <x:c r="H134" s="48" t="str">
        <x:v>Flushing and Whitestone (CD7)  Queens</x:v>
      </x:c>
      <x:c r="I134" s="49" t="n">
        <x:v>6.3</x:v>
      </x:c>
      <x:c r="J134" s="49" t="n">
        <x:v>8</x:v>
      </x:c>
      <x:c r="K134" s="49" t="n">
        <x:v>6.3</x:v>
      </x:c>
    </x:row>
    <x:row r="135">
      <x:c r="A135" s="48" t="n">
        <x:v>2025</x:v>
      </x:c>
      <x:c r="B135" s="48" t="str">
        <x:v>Community District</x:v>
      </x:c>
      <x:c r="C135" s="48" t="n">
        <x:v>408</x:v>
      </x:c>
      <x:c r="D135" s="48" t="n">
        <x:v>6</x:v>
      </x:c>
      <x:c r="E135" s="48" t="n">
        <x:v>4</x:v>
      </x:c>
      <x:c r="F135" s="48" t="str">
        <x:v>Queens</x:v>
      </x:c>
      <x:c r="G135" s="48" t="str">
        <x:v>Hillcrest and Fresh Meadows (CD8)</x:v>
      </x:c>
      <x:c r="H135" s="48" t="str">
        <x:v>Hillcrest and Fresh Meadows (CD8)  Queens</x:v>
      </x:c>
      <x:c r="I135" s="49" t="n">
        <x:v>6.1</x:v>
      </x:c>
      <x:c r="J135" s="49" t="n">
        <x:v>7.8</x:v>
      </x:c>
      <x:c r="K135" s="49" t="n">
        <x:v>6</x:v>
      </x:c>
    </x:row>
    <x:row r="136">
      <x:c r="A136" s="48" t="n">
        <x:v>2025</x:v>
      </x:c>
      <x:c r="B136" s="48" t="str">
        <x:v>Community District</x:v>
      </x:c>
      <x:c r="C136" s="48" t="n">
        <x:v>409</x:v>
      </x:c>
      <x:c r="D136" s="48" t="n">
        <x:v>6</x:v>
      </x:c>
      <x:c r="E136" s="48" t="n">
        <x:v>4</x:v>
      </x:c>
      <x:c r="F136" s="48" t="str">
        <x:v>Queens</x:v>
      </x:c>
      <x:c r="G136" s="48" t="str">
        <x:v>Kew Gardens and Woodhaven (CD9)</x:v>
      </x:c>
      <x:c r="H136" s="48" t="str">
        <x:v>Kew Gardens and Woodhaven (CD9)  Queens</x:v>
      </x:c>
      <x:c r="I136" s="49" t="n">
        <x:v>6.2</x:v>
      </x:c>
      <x:c r="J136" s="49" t="n">
        <x:v>8</x:v>
      </x:c>
      <x:c r="K136" s="49" t="n">
        <x:v>6.2</x:v>
      </x:c>
    </x:row>
    <x:row r="137">
      <x:c r="A137" s="48" t="n">
        <x:v>2025</x:v>
      </x:c>
      <x:c r="B137" s="48" t="str">
        <x:v>Community District</x:v>
      </x:c>
      <x:c r="C137" s="48" t="n">
        <x:v>410</x:v>
      </x:c>
      <x:c r="D137" s="48" t="n">
        <x:v>6</x:v>
      </x:c>
      <x:c r="E137" s="48" t="n">
        <x:v>4</x:v>
      </x:c>
      <x:c r="F137" s="48" t="str">
        <x:v>Queens</x:v>
      </x:c>
      <x:c r="G137" s="48" t="str">
        <x:v>South Ozone Park and Howard Beach (CD10)</x:v>
      </x:c>
      <x:c r="H137" s="48" t="str">
        <x:v>South Ozone Park and Howard Beach (CD10)  Queens</x:v>
      </x:c>
      <x:c r="I137" s="49" t="n">
        <x:v>6</x:v>
      </x:c>
      <x:c r="J137" s="49" t="n">
        <x:v>7.8</x:v>
      </x:c>
      <x:c r="K137" s="49" t="n">
        <x:v>5.9</x:v>
      </x:c>
    </x:row>
    <x:row r="138">
      <x:c r="A138" s="48" t="n">
        <x:v>2025</x:v>
      </x:c>
      <x:c r="B138" s="48" t="str">
        <x:v>Community District</x:v>
      </x:c>
      <x:c r="C138" s="48" t="n">
        <x:v>411</x:v>
      </x:c>
      <x:c r="D138" s="48" t="n">
        <x:v>6</x:v>
      </x:c>
      <x:c r="E138" s="48" t="n">
        <x:v>4</x:v>
      </x:c>
      <x:c r="F138" s="48" t="str">
        <x:v>Queens</x:v>
      </x:c>
      <x:c r="G138" s="48" t="str">
        <x:v>Bayside and Little Neck (CD11)</x:v>
      </x:c>
      <x:c r="H138" s="48" t="str">
        <x:v>Bayside and Little Neck (CD11)  Queens</x:v>
      </x:c>
      <x:c r="I138" s="49" t="n">
        <x:v>6.1</x:v>
      </x:c>
      <x:c r="J138" s="49" t="n">
        <x:v>7.8</x:v>
      </x:c>
      <x:c r="K138" s="49" t="n">
        <x:v>6</x:v>
      </x:c>
    </x:row>
    <x:row r="139">
      <x:c r="A139" s="48" t="n">
        <x:v>2025</x:v>
      </x:c>
      <x:c r="B139" s="48" t="str">
        <x:v>Community District</x:v>
      </x:c>
      <x:c r="C139" s="48" t="n">
        <x:v>412</x:v>
      </x:c>
      <x:c r="D139" s="48" t="n">
        <x:v>6</x:v>
      </x:c>
      <x:c r="E139" s="48" t="n">
        <x:v>4</x:v>
      </x:c>
      <x:c r="F139" s="48" t="str">
        <x:v>Queens</x:v>
      </x:c>
      <x:c r="G139" s="48" t="str">
        <x:v>Jamaica and Hollis (CD12)</x:v>
      </x:c>
      <x:c r="H139" s="48" t="str">
        <x:v>Jamaica and Hollis (CD12)  Queens</x:v>
      </x:c>
      <x:c r="I139" s="49" t="n">
        <x:v>6.1</x:v>
      </x:c>
      <x:c r="J139" s="49" t="n">
        <x:v>7.9</x:v>
      </x:c>
      <x:c r="K139" s="49" t="n">
        <x:v>6.1</x:v>
      </x:c>
    </x:row>
    <x:row r="140">
      <x:c r="A140" s="48" t="n">
        <x:v>2025</x:v>
      </x:c>
      <x:c r="B140" s="48" t="str">
        <x:v>Community District</x:v>
      </x:c>
      <x:c r="C140" s="48" t="n">
        <x:v>413</x:v>
      </x:c>
      <x:c r="D140" s="48" t="n">
        <x:v>6</x:v>
      </x:c>
      <x:c r="E140" s="48" t="n">
        <x:v>4</x:v>
      </x:c>
      <x:c r="F140" s="48" t="str">
        <x:v>Queens</x:v>
      </x:c>
      <x:c r="G140" s="48" t="str">
        <x:v>Queens Village (CD13)</x:v>
      </x:c>
      <x:c r="H140" s="48" t="str">
        <x:v>Queens Village (CD13)  Queens</x:v>
      </x:c>
      <x:c r="I140" s="49" t="n">
        <x:v>6.1</x:v>
      </x:c>
      <x:c r="J140" s="49" t="n">
        <x:v>7.8</x:v>
      </x:c>
      <x:c r="K140" s="49" t="n">
        <x:v>6</x:v>
      </x:c>
    </x:row>
    <x:row r="141">
      <x:c r="A141" s="48" t="n">
        <x:v>2025</x:v>
      </x:c>
      <x:c r="B141" s="48" t="str">
        <x:v>Community District</x:v>
      </x:c>
      <x:c r="C141" s="48" t="n">
        <x:v>414</x:v>
      </x:c>
      <x:c r="D141" s="48" t="n">
        <x:v>6</x:v>
      </x:c>
      <x:c r="E141" s="48" t="n">
        <x:v>4</x:v>
      </x:c>
      <x:c r="F141" s="48" t="str">
        <x:v>Queens</x:v>
      </x:c>
      <x:c r="G141" s="48" t="str">
        <x:v>Rockaway and Broad Channel (CD14)</x:v>
      </x:c>
      <x:c r="H141" s="48" t="str">
        <x:v>Rockaway and Broad Channel (CD14)  Queens</x:v>
      </x:c>
      <x:c r="I141" s="49" t="n">
        <x:v>5.8</x:v>
      </x:c>
      <x:c r="J141" s="49" t="n">
        <x:v>7.7</x:v>
      </x:c>
      <x:c r="K141" s="49" t="n">
        <x:v>5.7</x:v>
      </x:c>
    </x:row>
    <x:row r="142">
      <x:c r="A142" s="48" t="n">
        <x:v>2025</x:v>
      </x:c>
      <x:c r="B142" s="48" t="str">
        <x:v>Community District</x:v>
      </x:c>
      <x:c r="C142" s="48" t="n">
        <x:v>501</x:v>
      </x:c>
      <x:c r="D142" s="48" t="n">
        <x:v>6</x:v>
      </x:c>
      <x:c r="E142" s="48" t="n">
        <x:v>5</x:v>
      </x:c>
      <x:c r="F142" s="48" t="str">
        <x:v>Staten Island</x:v>
      </x:c>
      <x:c r="G142" s="48" t="str">
        <x:v>St. George and Stapleton (CD1)</x:v>
      </x:c>
      <x:c r="H142" s="48" t="str">
        <x:v>St. George and Stapleton (CD1)  Staten Island</x:v>
      </x:c>
      <x:c r="I142" s="49" t="n">
        <x:v>5.9</x:v>
      </x:c>
      <x:c r="J142" s="49" t="n">
        <x:v>7.7</x:v>
      </x:c>
      <x:c r="K142" s="49" t="n">
        <x:v>6.1</x:v>
      </x:c>
    </x:row>
    <x:row r="143">
      <x:c r="A143" s="48" t="n">
        <x:v>2025</x:v>
      </x:c>
      <x:c r="B143" s="48" t="str">
        <x:v>Community District</x:v>
      </x:c>
      <x:c r="C143" s="48" t="n">
        <x:v>502</x:v>
      </x:c>
      <x:c r="D143" s="48" t="n">
        <x:v>6</x:v>
      </x:c>
      <x:c r="E143" s="48" t="n">
        <x:v>5</x:v>
      </x:c>
      <x:c r="F143" s="48" t="str">
        <x:v>Staten Island</x:v>
      </x:c>
      <x:c r="G143" s="48" t="str">
        <x:v>South Beach and Willowbrook (CD2)</x:v>
      </x:c>
      <x:c r="H143" s="48" t="str">
        <x:v>South Beach and Willowbrook (CD2)  Staten Island</x:v>
      </x:c>
      <x:c r="I143" s="49" t="n">
        <x:v>5.8</x:v>
      </x:c>
      <x:c r="J143" s="49" t="n">
        <x:v>7.5</x:v>
      </x:c>
      <x:c r="K143" s="49" t="n">
        <x:v>6</x:v>
      </x:c>
    </x:row>
    <x:row r="144">
      <x:c r="A144" s="48" t="n">
        <x:v>2025</x:v>
      </x:c>
      <x:c r="B144" s="48" t="str">
        <x:v>Community District</x:v>
      </x:c>
      <x:c r="C144" s="48" t="n">
        <x:v>503</x:v>
      </x:c>
      <x:c r="D144" s="48" t="n">
        <x:v>6</x:v>
      </x:c>
      <x:c r="E144" s="48" t="n">
        <x:v>5</x:v>
      </x:c>
      <x:c r="F144" s="48" t="str">
        <x:v>Staten Island</x:v>
      </x:c>
      <x:c r="G144" s="48" t="str">
        <x:v>Tottenville and Great Kills (CD3)</x:v>
      </x:c>
      <x:c r="H144" s="48" t="str">
        <x:v>Tottenville and Great Kills (CD3)  Staten Island</x:v>
      </x:c>
      <x:c r="I144" s="49" t="n">
        <x:v>5.7</x:v>
      </x:c>
      <x:c r="J144" s="49" t="n">
        <x:v>7.3</x:v>
      </x:c>
      <x:c r="K144" s="49" t="n">
        <x:v>5.9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e6162e6bd304c8a"/>
  </x:tableParts>
</x:worksheet>
</file>